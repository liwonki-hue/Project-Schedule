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LOVE\Downloads\Project Schedule\"/>
    </mc:Choice>
  </mc:AlternateContent>
  <xr:revisionPtr revIDLastSave="0" documentId="8_{C71000B0-F4A6-4A5F-8629-B5C2E5EDD00D}" xr6:coauthVersionLast="47" xr6:coauthVersionMax="47" xr10:uidLastSave="{00000000-0000-0000-0000-000000000000}"/>
  <bookViews>
    <workbookView xWindow="-28920" yWindow="-870" windowWidth="29040" windowHeight="15720" xr2:uid="{00000000-000D-0000-FFFF-FFFF00000000}"/>
  </bookViews>
  <sheets>
    <sheet name="CONTROL" sheetId="1" r:id="rId1"/>
    <sheet name="DATA" sheetId="2" r:id="rId2"/>
    <sheet name="GANTT" sheetId="3" r:id="rId3"/>
  </sheets>
  <definedNames>
    <definedName name="BLDG_DELAY">CONTROL!$C$9</definedName>
    <definedName name="DI_DATE">CONTROL!$C$6</definedName>
    <definedName name="PR_DELAY">CONTROL!$C$8</definedName>
    <definedName name="_xlnm.Print_Titles" localSheetId="2">GANTT!$1:$4</definedName>
    <definedName name="SLP_DELAY">CONTROL!$C$10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3" i="3" l="1"/>
  <c r="G103" i="3"/>
  <c r="H102" i="3"/>
  <c r="G102" i="3"/>
  <c r="H101" i="3"/>
  <c r="G101" i="3"/>
  <c r="H100" i="3"/>
  <c r="G100" i="3"/>
  <c r="H99" i="3"/>
  <c r="G99" i="3"/>
  <c r="H98" i="3"/>
  <c r="G98" i="3"/>
  <c r="H96" i="3"/>
  <c r="G96" i="3"/>
  <c r="H95" i="3"/>
  <c r="G95" i="3"/>
  <c r="H94" i="3"/>
  <c r="G94" i="3"/>
  <c r="H93" i="3"/>
  <c r="G93" i="3"/>
  <c r="H92" i="3"/>
  <c r="G92" i="3"/>
  <c r="H91" i="3"/>
  <c r="G91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S86" i="2"/>
  <c r="Q86" i="2"/>
  <c r="N86" i="2"/>
  <c r="K103" i="3" s="1"/>
  <c r="S85" i="2"/>
  <c r="Q85" i="2"/>
  <c r="P85" i="2"/>
  <c r="J102" i="3" s="1"/>
  <c r="O85" i="2"/>
  <c r="N85" i="2"/>
  <c r="K102" i="3" s="1"/>
  <c r="S84" i="2"/>
  <c r="N84" i="2"/>
  <c r="S83" i="2"/>
  <c r="P83" i="2"/>
  <c r="J100" i="3" s="1"/>
  <c r="N83" i="2"/>
  <c r="S82" i="2"/>
  <c r="N82" i="2"/>
  <c r="S81" i="2"/>
  <c r="O81" i="2"/>
  <c r="N81" i="2"/>
  <c r="K98" i="3" s="1"/>
  <c r="S80" i="2"/>
  <c r="O80" i="2"/>
  <c r="N80" i="2"/>
  <c r="S79" i="2"/>
  <c r="P79" i="2"/>
  <c r="J95" i="3" s="1"/>
  <c r="N79" i="2"/>
  <c r="S78" i="2"/>
  <c r="Q78" i="2"/>
  <c r="P78" i="2"/>
  <c r="J94" i="3" s="1"/>
  <c r="N78" i="2"/>
  <c r="S77" i="2"/>
  <c r="N77" i="2"/>
  <c r="K93" i="3" s="1"/>
  <c r="S76" i="2"/>
  <c r="O76" i="2"/>
  <c r="N76" i="2"/>
  <c r="K92" i="3" s="1"/>
  <c r="S75" i="2"/>
  <c r="P75" i="2"/>
  <c r="J91" i="3" s="1"/>
  <c r="O75" i="2"/>
  <c r="I91" i="3" s="1"/>
  <c r="N75" i="2"/>
  <c r="S74" i="2"/>
  <c r="N74" i="2"/>
  <c r="S73" i="2"/>
  <c r="O73" i="2"/>
  <c r="I88" i="3" s="1"/>
  <c r="N73" i="2"/>
  <c r="K88" i="3" s="1"/>
  <c r="S72" i="2"/>
  <c r="Q72" i="2"/>
  <c r="P72" i="2"/>
  <c r="J87" i="3" s="1"/>
  <c r="O72" i="2"/>
  <c r="N72" i="2"/>
  <c r="K87" i="3" s="1"/>
  <c r="S71" i="2"/>
  <c r="N71" i="2"/>
  <c r="S70" i="2"/>
  <c r="N70" i="2"/>
  <c r="S69" i="2"/>
  <c r="Q69" i="2"/>
  <c r="P69" i="2"/>
  <c r="J84" i="3" s="1"/>
  <c r="O69" i="2"/>
  <c r="I84" i="3" s="1"/>
  <c r="N69" i="2"/>
  <c r="K84" i="3" s="1"/>
  <c r="S68" i="2"/>
  <c r="Q68" i="2"/>
  <c r="N68" i="2"/>
  <c r="K83" i="3" s="1"/>
  <c r="S67" i="2"/>
  <c r="N67" i="2"/>
  <c r="S66" i="2"/>
  <c r="N66" i="2"/>
  <c r="S65" i="2"/>
  <c r="Q65" i="2"/>
  <c r="N65" i="2"/>
  <c r="K79" i="3" s="1"/>
  <c r="S64" i="2"/>
  <c r="N64" i="2"/>
  <c r="K78" i="3" s="1"/>
  <c r="S63" i="2"/>
  <c r="O63" i="2"/>
  <c r="I77" i="3" s="1"/>
  <c r="N63" i="2"/>
  <c r="S62" i="2"/>
  <c r="Q62" i="2"/>
  <c r="N62" i="2"/>
  <c r="S61" i="2"/>
  <c r="N61" i="2"/>
  <c r="K75" i="3" s="1"/>
  <c r="S60" i="2"/>
  <c r="Q60" i="2"/>
  <c r="P60" i="2"/>
  <c r="J73" i="3" s="1"/>
  <c r="O60" i="2"/>
  <c r="I73" i="3" s="1"/>
  <c r="N60" i="2"/>
  <c r="K73" i="3" s="1"/>
  <c r="S59" i="2"/>
  <c r="N59" i="2"/>
  <c r="K72" i="3" s="1"/>
  <c r="S58" i="2"/>
  <c r="P58" i="2"/>
  <c r="J71" i="3" s="1"/>
  <c r="N58" i="2"/>
  <c r="K71" i="3" s="1"/>
  <c r="S57" i="2"/>
  <c r="N57" i="2"/>
  <c r="K70" i="3" s="1"/>
  <c r="S56" i="2"/>
  <c r="P56" i="2"/>
  <c r="J69" i="3" s="1"/>
  <c r="N56" i="2"/>
  <c r="K69" i="3" s="1"/>
  <c r="S55" i="2"/>
  <c r="N55" i="2"/>
  <c r="K68" i="3" s="1"/>
  <c r="S54" i="2"/>
  <c r="P54" i="2"/>
  <c r="J67" i="3" s="1"/>
  <c r="N54" i="2"/>
  <c r="K67" i="3" s="1"/>
  <c r="S53" i="2"/>
  <c r="N53" i="2"/>
  <c r="K65" i="3" s="1"/>
  <c r="S52" i="2"/>
  <c r="N52" i="2"/>
  <c r="K64" i="3" s="1"/>
  <c r="S51" i="2"/>
  <c r="N51" i="2"/>
  <c r="K63" i="3" s="1"/>
  <c r="S50" i="2"/>
  <c r="P50" i="2"/>
  <c r="J62" i="3" s="1"/>
  <c r="N50" i="2"/>
  <c r="K62" i="3" s="1"/>
  <c r="S49" i="2"/>
  <c r="N49" i="2"/>
  <c r="K61" i="3" s="1"/>
  <c r="S48" i="2"/>
  <c r="N48" i="2"/>
  <c r="K60" i="3" s="1"/>
  <c r="S47" i="2"/>
  <c r="N47" i="2"/>
  <c r="K59" i="3" s="1"/>
  <c r="S46" i="2"/>
  <c r="P46" i="2"/>
  <c r="J57" i="3" s="1"/>
  <c r="N46" i="2"/>
  <c r="K57" i="3" s="1"/>
  <c r="S45" i="2"/>
  <c r="N45" i="2"/>
  <c r="K56" i="3" s="1"/>
  <c r="S44" i="2"/>
  <c r="N44" i="2"/>
  <c r="K55" i="3" s="1"/>
  <c r="S43" i="2"/>
  <c r="N43" i="2"/>
  <c r="K54" i="3" s="1"/>
  <c r="S42" i="2"/>
  <c r="P42" i="2"/>
  <c r="J53" i="3" s="1"/>
  <c r="N42" i="2"/>
  <c r="K53" i="3" s="1"/>
  <c r="S41" i="2"/>
  <c r="N41" i="2"/>
  <c r="K52" i="3" s="1"/>
  <c r="S40" i="2"/>
  <c r="N40" i="2"/>
  <c r="K51" i="3" s="1"/>
  <c r="S39" i="2"/>
  <c r="N39" i="2"/>
  <c r="K49" i="3" s="1"/>
  <c r="S38" i="2"/>
  <c r="P38" i="2"/>
  <c r="J48" i="3" s="1"/>
  <c r="N38" i="2"/>
  <c r="K48" i="3" s="1"/>
  <c r="S37" i="2"/>
  <c r="N37" i="2"/>
  <c r="K47" i="3" s="1"/>
  <c r="S36" i="2"/>
  <c r="N36" i="2"/>
  <c r="K46" i="3" s="1"/>
  <c r="S35" i="2"/>
  <c r="N35" i="2"/>
  <c r="K45" i="3" s="1"/>
  <c r="S34" i="2"/>
  <c r="P34" i="2"/>
  <c r="J44" i="3" s="1"/>
  <c r="N34" i="2"/>
  <c r="K44" i="3" s="1"/>
  <c r="S33" i="2"/>
  <c r="N33" i="2"/>
  <c r="K43" i="3" s="1"/>
  <c r="S32" i="2"/>
  <c r="N32" i="2"/>
  <c r="K41" i="3" s="1"/>
  <c r="S31" i="2"/>
  <c r="N31" i="2"/>
  <c r="K40" i="3" s="1"/>
  <c r="S30" i="2"/>
  <c r="P30" i="2"/>
  <c r="J39" i="3" s="1"/>
  <c r="N30" i="2"/>
  <c r="K39" i="3" s="1"/>
  <c r="S29" i="2"/>
  <c r="N29" i="2"/>
  <c r="K38" i="3" s="1"/>
  <c r="S28" i="2"/>
  <c r="N28" i="2"/>
  <c r="K37" i="3" s="1"/>
  <c r="S27" i="2"/>
  <c r="N27" i="2"/>
  <c r="K36" i="3" s="1"/>
  <c r="S26" i="2"/>
  <c r="P26" i="2"/>
  <c r="J35" i="3" s="1"/>
  <c r="N26" i="2"/>
  <c r="K35" i="3" s="1"/>
  <c r="S25" i="2"/>
  <c r="N25" i="2"/>
  <c r="K33" i="3" s="1"/>
  <c r="S24" i="2"/>
  <c r="N24" i="2"/>
  <c r="K32" i="3" s="1"/>
  <c r="S23" i="2"/>
  <c r="N23" i="2"/>
  <c r="K31" i="3" s="1"/>
  <c r="S22" i="2"/>
  <c r="P22" i="2"/>
  <c r="J30" i="3" s="1"/>
  <c r="N22" i="2"/>
  <c r="K30" i="3" s="1"/>
  <c r="S21" i="2"/>
  <c r="N21" i="2"/>
  <c r="K29" i="3" s="1"/>
  <c r="S20" i="2"/>
  <c r="N20" i="2"/>
  <c r="K28" i="3" s="1"/>
  <c r="S19" i="2"/>
  <c r="N19" i="2"/>
  <c r="K27" i="3" s="1"/>
  <c r="S18" i="2"/>
  <c r="P18" i="2"/>
  <c r="J25" i="3" s="1"/>
  <c r="N18" i="2"/>
  <c r="K25" i="3" s="1"/>
  <c r="S17" i="2"/>
  <c r="N17" i="2"/>
  <c r="K24" i="3" s="1"/>
  <c r="S16" i="2"/>
  <c r="N16" i="2"/>
  <c r="K23" i="3" s="1"/>
  <c r="S15" i="2"/>
  <c r="N15" i="2"/>
  <c r="K22" i="3" s="1"/>
  <c r="S14" i="2"/>
  <c r="P14" i="2"/>
  <c r="J21" i="3" s="1"/>
  <c r="N14" i="2"/>
  <c r="K21" i="3" s="1"/>
  <c r="S13" i="2"/>
  <c r="N13" i="2"/>
  <c r="K20" i="3" s="1"/>
  <c r="S12" i="2"/>
  <c r="N12" i="2"/>
  <c r="K19" i="3" s="1"/>
  <c r="S11" i="2"/>
  <c r="N11" i="2"/>
  <c r="K16" i="3" s="1"/>
  <c r="S10" i="2"/>
  <c r="P10" i="2"/>
  <c r="J15" i="3" s="1"/>
  <c r="N10" i="2"/>
  <c r="K15" i="3" s="1"/>
  <c r="S9" i="2"/>
  <c r="N9" i="2"/>
  <c r="K14" i="3" s="1"/>
  <c r="S8" i="2"/>
  <c r="N8" i="2"/>
  <c r="K13" i="3" s="1"/>
  <c r="S7" i="2"/>
  <c r="N7" i="2"/>
  <c r="K12" i="3" s="1"/>
  <c r="S6" i="2"/>
  <c r="P6" i="2"/>
  <c r="J11" i="3" s="1"/>
  <c r="N6" i="2"/>
  <c r="K11" i="3" s="1"/>
  <c r="S5" i="2"/>
  <c r="N5" i="2"/>
  <c r="K10" i="3" s="1"/>
  <c r="S4" i="2"/>
  <c r="N4" i="2"/>
  <c r="K9" i="3" s="1"/>
  <c r="S3" i="2"/>
  <c r="N3" i="2"/>
  <c r="K8" i="3" s="1"/>
  <c r="S2" i="2"/>
  <c r="P2" i="2"/>
  <c r="J7" i="3" s="1"/>
  <c r="N2" i="2"/>
  <c r="K7" i="3" s="1"/>
  <c r="I16" i="1"/>
  <c r="I15" i="1"/>
  <c r="I14" i="1"/>
  <c r="I13" i="1"/>
  <c r="I12" i="1"/>
  <c r="I11" i="1"/>
  <c r="I10" i="1"/>
  <c r="I9" i="1"/>
  <c r="I8" i="1"/>
  <c r="I7" i="1"/>
  <c r="I6" i="1"/>
  <c r="P25" i="2" l="1"/>
  <c r="J33" i="3" s="1"/>
  <c r="P29" i="2"/>
  <c r="J38" i="3" s="1"/>
  <c r="P37" i="2"/>
  <c r="J47" i="3" s="1"/>
  <c r="P45" i="2"/>
  <c r="J56" i="3" s="1"/>
  <c r="O4" i="2"/>
  <c r="Q5" i="2"/>
  <c r="O8" i="2"/>
  <c r="Q9" i="2"/>
  <c r="O12" i="2"/>
  <c r="Q13" i="2"/>
  <c r="O16" i="2"/>
  <c r="Q17" i="2"/>
  <c r="O20" i="2"/>
  <c r="Q21" i="2"/>
  <c r="O24" i="2"/>
  <c r="Q25" i="2"/>
  <c r="O28" i="2"/>
  <c r="Q29" i="2"/>
  <c r="O32" i="2"/>
  <c r="Q33" i="2"/>
  <c r="O36" i="2"/>
  <c r="Q37" i="2"/>
  <c r="O40" i="2"/>
  <c r="Q41" i="2"/>
  <c r="O44" i="2"/>
  <c r="Q45" i="2"/>
  <c r="O48" i="2"/>
  <c r="Q49" i="2"/>
  <c r="O52" i="2"/>
  <c r="Q53" i="2"/>
  <c r="O56" i="2"/>
  <c r="Q57" i="2"/>
  <c r="AR73" i="3"/>
  <c r="AJ73" i="3"/>
  <c r="AB73" i="3"/>
  <c r="T73" i="3"/>
  <c r="AQ73" i="3"/>
  <c r="AI73" i="3"/>
  <c r="AA73" i="3"/>
  <c r="S73" i="3"/>
  <c r="AP73" i="3"/>
  <c r="AH73" i="3"/>
  <c r="Z73" i="3"/>
  <c r="R73" i="3"/>
  <c r="AN73" i="3"/>
  <c r="AF73" i="3"/>
  <c r="X73" i="3"/>
  <c r="P73" i="3"/>
  <c r="AS73" i="3"/>
  <c r="AC73" i="3"/>
  <c r="M73" i="3"/>
  <c r="AO73" i="3"/>
  <c r="Y73" i="3"/>
  <c r="AM73" i="3"/>
  <c r="W73" i="3"/>
  <c r="AL73" i="3"/>
  <c r="V73" i="3"/>
  <c r="AK73" i="3"/>
  <c r="U73" i="3"/>
  <c r="AG73" i="3"/>
  <c r="Q73" i="3"/>
  <c r="AU73" i="3"/>
  <c r="AE73" i="3"/>
  <c r="O73" i="3"/>
  <c r="AT73" i="3"/>
  <c r="AD73" i="3"/>
  <c r="N73" i="3"/>
  <c r="Q61" i="2"/>
  <c r="K77" i="3"/>
  <c r="Q63" i="2"/>
  <c r="Q64" i="2"/>
  <c r="K80" i="3"/>
  <c r="O66" i="2"/>
  <c r="AR84" i="3"/>
  <c r="AJ84" i="3"/>
  <c r="AB84" i="3"/>
  <c r="T84" i="3"/>
  <c r="AQ84" i="3"/>
  <c r="AI84" i="3"/>
  <c r="AA84" i="3"/>
  <c r="S84" i="3"/>
  <c r="AP84" i="3"/>
  <c r="AH84" i="3"/>
  <c r="Z84" i="3"/>
  <c r="R84" i="3"/>
  <c r="AO84" i="3"/>
  <c r="AG84" i="3"/>
  <c r="Y84" i="3"/>
  <c r="Q84" i="3"/>
  <c r="AN84" i="3"/>
  <c r="AF84" i="3"/>
  <c r="X84" i="3"/>
  <c r="P84" i="3"/>
  <c r="AM84" i="3"/>
  <c r="U84" i="3"/>
  <c r="AL84" i="3"/>
  <c r="O84" i="3"/>
  <c r="AK84" i="3"/>
  <c r="N84" i="3"/>
  <c r="AE84" i="3"/>
  <c r="M84" i="3"/>
  <c r="AD84" i="3"/>
  <c r="AU84" i="3"/>
  <c r="AC84" i="3"/>
  <c r="AT84" i="3"/>
  <c r="W84" i="3"/>
  <c r="AS84" i="3"/>
  <c r="V84" i="3"/>
  <c r="I87" i="3"/>
  <c r="T72" i="2"/>
  <c r="AU91" i="3"/>
  <c r="AM91" i="3"/>
  <c r="AE91" i="3"/>
  <c r="W91" i="3"/>
  <c r="O91" i="3"/>
  <c r="AT91" i="3"/>
  <c r="AL91" i="3"/>
  <c r="AD91" i="3"/>
  <c r="V91" i="3"/>
  <c r="N91" i="3"/>
  <c r="AS91" i="3"/>
  <c r="AK91" i="3"/>
  <c r="AC91" i="3"/>
  <c r="U91" i="3"/>
  <c r="M91" i="3"/>
  <c r="AO91" i="3"/>
  <c r="AA91" i="3"/>
  <c r="P91" i="3"/>
  <c r="AN91" i="3"/>
  <c r="Z91" i="3"/>
  <c r="AJ91" i="3"/>
  <c r="Y91" i="3"/>
  <c r="AI91" i="3"/>
  <c r="X91" i="3"/>
  <c r="AH91" i="3"/>
  <c r="T91" i="3"/>
  <c r="AR91" i="3"/>
  <c r="AG91" i="3"/>
  <c r="S91" i="3"/>
  <c r="AP91" i="3"/>
  <c r="AB91" i="3"/>
  <c r="Q91" i="3"/>
  <c r="R91" i="3"/>
  <c r="AQ91" i="3"/>
  <c r="AF91" i="3"/>
  <c r="K96" i="3"/>
  <c r="Q80" i="2"/>
  <c r="P4" i="2"/>
  <c r="J9" i="3" s="1"/>
  <c r="P16" i="2"/>
  <c r="J23" i="3" s="1"/>
  <c r="P28" i="2"/>
  <c r="J37" i="3" s="1"/>
  <c r="P32" i="2"/>
  <c r="J41" i="3" s="1"/>
  <c r="P40" i="2"/>
  <c r="J51" i="3" s="1"/>
  <c r="P44" i="2"/>
  <c r="J55" i="3" s="1"/>
  <c r="P48" i="2"/>
  <c r="J60" i="3" s="1"/>
  <c r="P52" i="2"/>
  <c r="J64" i="3" s="1"/>
  <c r="AB77" i="3"/>
  <c r="AA77" i="3"/>
  <c r="S77" i="3"/>
  <c r="Z77" i="3"/>
  <c r="X77" i="3"/>
  <c r="P77" i="3"/>
  <c r="N77" i="3"/>
  <c r="AO77" i="3"/>
  <c r="Y77" i="3"/>
  <c r="AL77" i="3"/>
  <c r="AG77" i="3"/>
  <c r="Q77" i="3"/>
  <c r="O77" i="3"/>
  <c r="P66" i="2"/>
  <c r="J80" i="3" s="1"/>
  <c r="T73" i="2"/>
  <c r="I96" i="3"/>
  <c r="T80" i="2"/>
  <c r="K99" i="3"/>
  <c r="O82" i="2"/>
  <c r="P5" i="2"/>
  <c r="J10" i="3" s="1"/>
  <c r="P8" i="2"/>
  <c r="J13" i="3" s="1"/>
  <c r="P20" i="2"/>
  <c r="J28" i="3" s="1"/>
  <c r="P24" i="2"/>
  <c r="J32" i="3" s="1"/>
  <c r="P36" i="2"/>
  <c r="J46" i="3" s="1"/>
  <c r="O3" i="2"/>
  <c r="Q4" i="2"/>
  <c r="O7" i="2"/>
  <c r="Q8" i="2"/>
  <c r="O11" i="2"/>
  <c r="Q12" i="2"/>
  <c r="O15" i="2"/>
  <c r="Q16" i="2"/>
  <c r="O19" i="2"/>
  <c r="Q20" i="2"/>
  <c r="O23" i="2"/>
  <c r="Q24" i="2"/>
  <c r="O27" i="2"/>
  <c r="Q28" i="2"/>
  <c r="O31" i="2"/>
  <c r="Q32" i="2"/>
  <c r="O35" i="2"/>
  <c r="Q36" i="2"/>
  <c r="O39" i="2"/>
  <c r="Q40" i="2"/>
  <c r="O43" i="2"/>
  <c r="Q44" i="2"/>
  <c r="O47" i="2"/>
  <c r="Q48" i="2"/>
  <c r="O51" i="2"/>
  <c r="Q52" i="2"/>
  <c r="O55" i="2"/>
  <c r="Q56" i="2"/>
  <c r="O59" i="2"/>
  <c r="P63" i="2"/>
  <c r="J77" i="3" s="1"/>
  <c r="AI77" i="3" s="1"/>
  <c r="Q66" i="2"/>
  <c r="K86" i="3"/>
  <c r="Q71" i="2"/>
  <c r="K89" i="3"/>
  <c r="O74" i="2"/>
  <c r="O77" i="2"/>
  <c r="P80" i="2"/>
  <c r="J96" i="3" s="1"/>
  <c r="P82" i="2"/>
  <c r="J99" i="3" s="1"/>
  <c r="K101" i="3"/>
  <c r="Q84" i="2"/>
  <c r="P12" i="2"/>
  <c r="J19" i="3" s="1"/>
  <c r="P3" i="2"/>
  <c r="J8" i="3" s="1"/>
  <c r="P27" i="2"/>
  <c r="J36" i="3" s="1"/>
  <c r="P31" i="2"/>
  <c r="J40" i="3" s="1"/>
  <c r="P35" i="2"/>
  <c r="J45" i="3" s="1"/>
  <c r="P39" i="2"/>
  <c r="J49" i="3" s="1"/>
  <c r="P43" i="2"/>
  <c r="J54" i="3" s="1"/>
  <c r="P47" i="2"/>
  <c r="J59" i="3" s="1"/>
  <c r="P51" i="2"/>
  <c r="J63" i="3" s="1"/>
  <c r="P55" i="2"/>
  <c r="J68" i="3" s="1"/>
  <c r="P59" i="2"/>
  <c r="J72" i="3" s="1"/>
  <c r="K76" i="3"/>
  <c r="O62" i="2"/>
  <c r="O65" i="2"/>
  <c r="O68" i="2"/>
  <c r="O71" i="2"/>
  <c r="P74" i="2"/>
  <c r="J89" i="3" s="1"/>
  <c r="T75" i="2"/>
  <c r="P77" i="2"/>
  <c r="J93" i="3" s="1"/>
  <c r="Q82" i="2"/>
  <c r="O84" i="2"/>
  <c r="P7" i="2"/>
  <c r="J12" i="3" s="1"/>
  <c r="P11" i="2"/>
  <c r="J16" i="3" s="1"/>
  <c r="P15" i="2"/>
  <c r="J22" i="3" s="1"/>
  <c r="P19" i="2"/>
  <c r="J27" i="3" s="1"/>
  <c r="P23" i="2"/>
  <c r="J31" i="3" s="1"/>
  <c r="O2" i="2"/>
  <c r="Q3" i="2"/>
  <c r="O6" i="2"/>
  <c r="Q7" i="2"/>
  <c r="O10" i="2"/>
  <c r="Q11" i="2"/>
  <c r="O14" i="2"/>
  <c r="Q15" i="2"/>
  <c r="O18" i="2"/>
  <c r="Q19" i="2"/>
  <c r="O22" i="2"/>
  <c r="Q23" i="2"/>
  <c r="O26" i="2"/>
  <c r="Q27" i="2"/>
  <c r="O30" i="2"/>
  <c r="Q31" i="2"/>
  <c r="O34" i="2"/>
  <c r="Q35" i="2"/>
  <c r="O38" i="2"/>
  <c r="Q39" i="2"/>
  <c r="O42" i="2"/>
  <c r="Q43" i="2"/>
  <c r="O46" i="2"/>
  <c r="Q47" i="2"/>
  <c r="O50" i="2"/>
  <c r="Q51" i="2"/>
  <c r="O54" i="2"/>
  <c r="Q55" i="2"/>
  <c r="O58" i="2"/>
  <c r="Q59" i="2"/>
  <c r="T60" i="2"/>
  <c r="P62" i="2"/>
  <c r="J76" i="3" s="1"/>
  <c r="T63" i="2"/>
  <c r="P65" i="2"/>
  <c r="J79" i="3" s="1"/>
  <c r="P68" i="2"/>
  <c r="J83" i="3" s="1"/>
  <c r="T69" i="2"/>
  <c r="P71" i="2"/>
  <c r="J86" i="3" s="1"/>
  <c r="Q74" i="2"/>
  <c r="Q77" i="2"/>
  <c r="K95" i="3"/>
  <c r="Q79" i="2"/>
  <c r="O79" i="2"/>
  <c r="P84" i="2"/>
  <c r="J101" i="3" s="1"/>
  <c r="K81" i="3"/>
  <c r="Q67" i="2"/>
  <c r="K85" i="3"/>
  <c r="O70" i="2"/>
  <c r="I92" i="3"/>
  <c r="T76" i="2"/>
  <c r="I98" i="3"/>
  <c r="T81" i="2"/>
  <c r="Q2" i="2"/>
  <c r="O5" i="2"/>
  <c r="Q6" i="2"/>
  <c r="O9" i="2"/>
  <c r="Q10" i="2"/>
  <c r="O13" i="2"/>
  <c r="Q14" i="2"/>
  <c r="O17" i="2"/>
  <c r="Q18" i="2"/>
  <c r="O21" i="2"/>
  <c r="Q22" i="2"/>
  <c r="O25" i="2"/>
  <c r="Q26" i="2"/>
  <c r="O29" i="2"/>
  <c r="Q30" i="2"/>
  <c r="O33" i="2"/>
  <c r="Q34" i="2"/>
  <c r="O37" i="2"/>
  <c r="Q38" i="2"/>
  <c r="O41" i="2"/>
  <c r="Q42" i="2"/>
  <c r="O45" i="2"/>
  <c r="Q46" i="2"/>
  <c r="O49" i="2"/>
  <c r="Q50" i="2"/>
  <c r="O53" i="2"/>
  <c r="Q54" i="2"/>
  <c r="O57" i="2"/>
  <c r="Q58" i="2"/>
  <c r="O61" i="2"/>
  <c r="O64" i="2"/>
  <c r="O67" i="2"/>
  <c r="P70" i="2"/>
  <c r="J85" i="3" s="1"/>
  <c r="P73" i="2"/>
  <c r="J88" i="3" s="1"/>
  <c r="AL88" i="3" s="1"/>
  <c r="P76" i="2"/>
  <c r="J92" i="3" s="1"/>
  <c r="P81" i="2"/>
  <c r="J98" i="3" s="1"/>
  <c r="K100" i="3"/>
  <c r="Q83" i="2"/>
  <c r="O83" i="2"/>
  <c r="P9" i="2"/>
  <c r="J14" i="3" s="1"/>
  <c r="P13" i="2"/>
  <c r="J20" i="3" s="1"/>
  <c r="P17" i="2"/>
  <c r="J24" i="3" s="1"/>
  <c r="P21" i="2"/>
  <c r="J29" i="3" s="1"/>
  <c r="P33" i="2"/>
  <c r="J43" i="3" s="1"/>
  <c r="P41" i="2"/>
  <c r="J52" i="3" s="1"/>
  <c r="P49" i="2"/>
  <c r="J61" i="3" s="1"/>
  <c r="P53" i="2"/>
  <c r="J65" i="3" s="1"/>
  <c r="P57" i="2"/>
  <c r="J70" i="3" s="1"/>
  <c r="P61" i="2"/>
  <c r="J75" i="3" s="1"/>
  <c r="P64" i="2"/>
  <c r="J78" i="3" s="1"/>
  <c r="P67" i="2"/>
  <c r="J81" i="3" s="1"/>
  <c r="Q70" i="2"/>
  <c r="Q73" i="2"/>
  <c r="K91" i="3"/>
  <c r="Q75" i="2"/>
  <c r="Q76" i="2"/>
  <c r="K94" i="3"/>
  <c r="O78" i="2"/>
  <c r="Q81" i="2"/>
  <c r="I102" i="3"/>
  <c r="T85" i="2"/>
  <c r="O86" i="2"/>
  <c r="P86" i="2"/>
  <c r="J103" i="3" s="1"/>
  <c r="AN88" i="3" l="1"/>
  <c r="AQ88" i="3"/>
  <c r="I100" i="3"/>
  <c r="T83" i="2"/>
  <c r="I78" i="3"/>
  <c r="T64" i="2"/>
  <c r="AU98" i="3"/>
  <c r="AM98" i="3"/>
  <c r="AE98" i="3"/>
  <c r="W98" i="3"/>
  <c r="O98" i="3"/>
  <c r="AT98" i="3"/>
  <c r="AL98" i="3"/>
  <c r="AD98" i="3"/>
  <c r="V98" i="3"/>
  <c r="N98" i="3"/>
  <c r="AS98" i="3"/>
  <c r="AK98" i="3"/>
  <c r="AC98" i="3"/>
  <c r="U98" i="3"/>
  <c r="M98" i="3"/>
  <c r="AQ98" i="3"/>
  <c r="AI98" i="3"/>
  <c r="AA98" i="3"/>
  <c r="S98" i="3"/>
  <c r="AP98" i="3"/>
  <c r="AH98" i="3"/>
  <c r="Z98" i="3"/>
  <c r="R98" i="3"/>
  <c r="AO98" i="3"/>
  <c r="AG98" i="3"/>
  <c r="Y98" i="3"/>
  <c r="Q98" i="3"/>
  <c r="AN98" i="3"/>
  <c r="AJ98" i="3"/>
  <c r="AF98" i="3"/>
  <c r="AB98" i="3"/>
  <c r="X98" i="3"/>
  <c r="T98" i="3"/>
  <c r="P98" i="3"/>
  <c r="AR98" i="3"/>
  <c r="AG88" i="3"/>
  <c r="AO88" i="3"/>
  <c r="U88" i="3"/>
  <c r="AT88" i="3"/>
  <c r="I71" i="3"/>
  <c r="T58" i="2"/>
  <c r="I53" i="3"/>
  <c r="T42" i="2"/>
  <c r="I35" i="3"/>
  <c r="T26" i="2"/>
  <c r="I15" i="3"/>
  <c r="T10" i="2"/>
  <c r="I83" i="3"/>
  <c r="T68" i="2"/>
  <c r="I59" i="3"/>
  <c r="T47" i="2"/>
  <c r="I40" i="3"/>
  <c r="T31" i="2"/>
  <c r="I22" i="3"/>
  <c r="T15" i="2"/>
  <c r="AK77" i="3"/>
  <c r="AC77" i="3"/>
  <c r="AN77" i="3"/>
  <c r="AQ77" i="3"/>
  <c r="I94" i="3"/>
  <c r="T78" i="2"/>
  <c r="I47" i="3"/>
  <c r="T37" i="2"/>
  <c r="I20" i="3"/>
  <c r="T13" i="2"/>
  <c r="AR88" i="3"/>
  <c r="O88" i="3"/>
  <c r="I79" i="3"/>
  <c r="T65" i="2"/>
  <c r="V77" i="3"/>
  <c r="AS77" i="3"/>
  <c r="R77" i="3"/>
  <c r="T77" i="3"/>
  <c r="I69" i="3"/>
  <c r="T56" i="2"/>
  <c r="I51" i="3"/>
  <c r="T40" i="2"/>
  <c r="I32" i="3"/>
  <c r="T24" i="2"/>
  <c r="I13" i="3"/>
  <c r="T8" i="2"/>
  <c r="I29" i="3"/>
  <c r="T21" i="2"/>
  <c r="AF88" i="3"/>
  <c r="AD88" i="3"/>
  <c r="I103" i="3"/>
  <c r="T86" i="2"/>
  <c r="I75" i="3"/>
  <c r="T61" i="2"/>
  <c r="I56" i="3"/>
  <c r="T45" i="2"/>
  <c r="I38" i="3"/>
  <c r="T29" i="2"/>
  <c r="Q88" i="3"/>
  <c r="Y88" i="3"/>
  <c r="I54" i="3"/>
  <c r="T43" i="2"/>
  <c r="I65" i="3"/>
  <c r="T53" i="2"/>
  <c r="AH88" i="3"/>
  <c r="AU88" i="3"/>
  <c r="P88" i="3"/>
  <c r="AC88" i="3"/>
  <c r="AU92" i="3"/>
  <c r="AM92" i="3"/>
  <c r="AE92" i="3"/>
  <c r="W92" i="3"/>
  <c r="O92" i="3"/>
  <c r="AT92" i="3"/>
  <c r="AL92" i="3"/>
  <c r="AD92" i="3"/>
  <c r="V92" i="3"/>
  <c r="N92" i="3"/>
  <c r="AS92" i="3"/>
  <c r="AK92" i="3"/>
  <c r="AC92" i="3"/>
  <c r="U92" i="3"/>
  <c r="M92" i="3"/>
  <c r="AQ92" i="3"/>
  <c r="AI92" i="3"/>
  <c r="AA92" i="3"/>
  <c r="S92" i="3"/>
  <c r="AP92" i="3"/>
  <c r="AH92" i="3"/>
  <c r="Z92" i="3"/>
  <c r="R92" i="3"/>
  <c r="AN92" i="3"/>
  <c r="Q92" i="3"/>
  <c r="AJ92" i="3"/>
  <c r="P92" i="3"/>
  <c r="AG92" i="3"/>
  <c r="AF92" i="3"/>
  <c r="AB92" i="3"/>
  <c r="Y92" i="3"/>
  <c r="AR92" i="3"/>
  <c r="X92" i="3"/>
  <c r="AO92" i="3"/>
  <c r="T92" i="3"/>
  <c r="AB88" i="3"/>
  <c r="AK88" i="3"/>
  <c r="W88" i="3"/>
  <c r="I67" i="3"/>
  <c r="T54" i="2"/>
  <c r="I48" i="3"/>
  <c r="T38" i="2"/>
  <c r="I30" i="3"/>
  <c r="T22" i="2"/>
  <c r="I11" i="3"/>
  <c r="T6" i="2"/>
  <c r="I101" i="3"/>
  <c r="T84" i="2"/>
  <c r="I76" i="3"/>
  <c r="T62" i="2"/>
  <c r="I72" i="3"/>
  <c r="T59" i="2"/>
  <c r="I36" i="3"/>
  <c r="T27" i="2"/>
  <c r="I16" i="3"/>
  <c r="T11" i="2"/>
  <c r="AU102" i="3"/>
  <c r="AM102" i="3"/>
  <c r="AE102" i="3"/>
  <c r="W102" i="3"/>
  <c r="O102" i="3"/>
  <c r="AT102" i="3"/>
  <c r="AL102" i="3"/>
  <c r="AD102" i="3"/>
  <c r="V102" i="3"/>
  <c r="N102" i="3"/>
  <c r="AS102" i="3"/>
  <c r="AK102" i="3"/>
  <c r="AC102" i="3"/>
  <c r="U102" i="3"/>
  <c r="M102" i="3"/>
  <c r="AQ102" i="3"/>
  <c r="AI102" i="3"/>
  <c r="AA102" i="3"/>
  <c r="S102" i="3"/>
  <c r="AP102" i="3"/>
  <c r="AH102" i="3"/>
  <c r="Z102" i="3"/>
  <c r="R102" i="3"/>
  <c r="AO102" i="3"/>
  <c r="AG102" i="3"/>
  <c r="Y102" i="3"/>
  <c r="Q102" i="3"/>
  <c r="X102" i="3"/>
  <c r="T102" i="3"/>
  <c r="P102" i="3"/>
  <c r="AR102" i="3"/>
  <c r="AN102" i="3"/>
  <c r="AJ102" i="3"/>
  <c r="AF102" i="3"/>
  <c r="AB102" i="3"/>
  <c r="I70" i="3"/>
  <c r="T57" i="2"/>
  <c r="I52" i="3"/>
  <c r="T41" i="2"/>
  <c r="I33" i="3"/>
  <c r="T25" i="2"/>
  <c r="I14" i="3"/>
  <c r="T9" i="2"/>
  <c r="T88" i="3"/>
  <c r="AJ88" i="3"/>
  <c r="AP88" i="3"/>
  <c r="AS88" i="3"/>
  <c r="AE88" i="3"/>
  <c r="I95" i="3"/>
  <c r="T79" i="2"/>
  <c r="I93" i="3"/>
  <c r="T77" i="2"/>
  <c r="AE77" i="3"/>
  <c r="W77" i="3"/>
  <c r="AD77" i="3"/>
  <c r="AH77" i="3"/>
  <c r="AJ77" i="3"/>
  <c r="AU87" i="3"/>
  <c r="AM87" i="3"/>
  <c r="AE87" i="3"/>
  <c r="W87" i="3"/>
  <c r="O87" i="3"/>
  <c r="AT87" i="3"/>
  <c r="AL87" i="3"/>
  <c r="AD87" i="3"/>
  <c r="V87" i="3"/>
  <c r="N87" i="3"/>
  <c r="AS87" i="3"/>
  <c r="AK87" i="3"/>
  <c r="AC87" i="3"/>
  <c r="U87" i="3"/>
  <c r="M87" i="3"/>
  <c r="AR87" i="3"/>
  <c r="AG87" i="3"/>
  <c r="S87" i="3"/>
  <c r="AQ87" i="3"/>
  <c r="AF87" i="3"/>
  <c r="R87" i="3"/>
  <c r="AP87" i="3"/>
  <c r="AB87" i="3"/>
  <c r="Q87" i="3"/>
  <c r="AO87" i="3"/>
  <c r="AA87" i="3"/>
  <c r="P87" i="3"/>
  <c r="AN87" i="3"/>
  <c r="Z87" i="3"/>
  <c r="AH87" i="3"/>
  <c r="T87" i="3"/>
  <c r="AI87" i="3"/>
  <c r="Y87" i="3"/>
  <c r="X87" i="3"/>
  <c r="AJ87" i="3"/>
  <c r="I64" i="3"/>
  <c r="T52" i="2"/>
  <c r="I46" i="3"/>
  <c r="T36" i="2"/>
  <c r="I28" i="3"/>
  <c r="T20" i="2"/>
  <c r="I9" i="3"/>
  <c r="T4" i="2"/>
  <c r="I10" i="3"/>
  <c r="T5" i="2"/>
  <c r="V88" i="3"/>
  <c r="X88" i="3"/>
  <c r="Z88" i="3"/>
  <c r="R88" i="3"/>
  <c r="N88" i="3"/>
  <c r="AM88" i="3"/>
  <c r="I62" i="3"/>
  <c r="T50" i="2"/>
  <c r="I44" i="3"/>
  <c r="T34" i="2"/>
  <c r="I25" i="3"/>
  <c r="T18" i="2"/>
  <c r="I7" i="3"/>
  <c r="T2" i="2"/>
  <c r="I89" i="3"/>
  <c r="T74" i="2"/>
  <c r="I68" i="3"/>
  <c r="T55" i="2"/>
  <c r="I49" i="3"/>
  <c r="T39" i="2"/>
  <c r="I31" i="3"/>
  <c r="T23" i="2"/>
  <c r="I12" i="3"/>
  <c r="T7" i="2"/>
  <c r="I99" i="3"/>
  <c r="T82" i="2"/>
  <c r="AU77" i="3"/>
  <c r="AM77" i="3"/>
  <c r="AT77" i="3"/>
  <c r="AP77" i="3"/>
  <c r="AR77" i="3"/>
  <c r="I60" i="3"/>
  <c r="T48" i="2"/>
  <c r="I41" i="3"/>
  <c r="T32" i="2"/>
  <c r="I23" i="3"/>
  <c r="T16" i="2"/>
  <c r="I57" i="3"/>
  <c r="T46" i="2"/>
  <c r="I21" i="3"/>
  <c r="T14" i="2"/>
  <c r="AI88" i="3"/>
  <c r="I85" i="3"/>
  <c r="T70" i="2"/>
  <c r="I39" i="3"/>
  <c r="T30" i="2"/>
  <c r="I63" i="3"/>
  <c r="T51" i="2"/>
  <c r="I45" i="3"/>
  <c r="T35" i="2"/>
  <c r="I27" i="3"/>
  <c r="T19" i="2"/>
  <c r="I8" i="3"/>
  <c r="T3" i="2"/>
  <c r="I81" i="3"/>
  <c r="T67" i="2"/>
  <c r="I61" i="3"/>
  <c r="T49" i="2"/>
  <c r="I43" i="3"/>
  <c r="T33" i="2"/>
  <c r="I24" i="3"/>
  <c r="T17" i="2"/>
  <c r="S88" i="3"/>
  <c r="AA88" i="3"/>
  <c r="M88" i="3"/>
  <c r="I86" i="3"/>
  <c r="T71" i="2"/>
  <c r="AU96" i="3"/>
  <c r="AM96" i="3"/>
  <c r="AE96" i="3"/>
  <c r="W96" i="3"/>
  <c r="O96" i="3"/>
  <c r="AT96" i="3"/>
  <c r="AL96" i="3"/>
  <c r="AD96" i="3"/>
  <c r="V96" i="3"/>
  <c r="N96" i="3"/>
  <c r="AS96" i="3"/>
  <c r="AK96" i="3"/>
  <c r="AC96" i="3"/>
  <c r="U96" i="3"/>
  <c r="M96" i="3"/>
  <c r="AQ96" i="3"/>
  <c r="AI96" i="3"/>
  <c r="AA96" i="3"/>
  <c r="S96" i="3"/>
  <c r="AP96" i="3"/>
  <c r="AH96" i="3"/>
  <c r="Z96" i="3"/>
  <c r="R96" i="3"/>
  <c r="AO96" i="3"/>
  <c r="AG96" i="3"/>
  <c r="Y96" i="3"/>
  <c r="Q96" i="3"/>
  <c r="T96" i="3"/>
  <c r="P96" i="3"/>
  <c r="AR96" i="3"/>
  <c r="AN96" i="3"/>
  <c r="AJ96" i="3"/>
  <c r="AF96" i="3"/>
  <c r="AB96" i="3"/>
  <c r="X96" i="3"/>
  <c r="U77" i="3"/>
  <c r="M77" i="3"/>
  <c r="AF77" i="3"/>
  <c r="I80" i="3"/>
  <c r="T66" i="2"/>
  <c r="I55" i="3"/>
  <c r="T44" i="2"/>
  <c r="I37" i="3"/>
  <c r="T28" i="2"/>
  <c r="I19" i="3"/>
  <c r="T12" i="2"/>
  <c r="AT60" i="3" l="1"/>
  <c r="AL60" i="3"/>
  <c r="AD60" i="3"/>
  <c r="V60" i="3"/>
  <c r="N60" i="3"/>
  <c r="AS60" i="3"/>
  <c r="AK60" i="3"/>
  <c r="AM60" i="3"/>
  <c r="AB60" i="3"/>
  <c r="S60" i="3"/>
  <c r="AJ60" i="3"/>
  <c r="AA60" i="3"/>
  <c r="R60" i="3"/>
  <c r="AU60" i="3"/>
  <c r="AI60" i="3"/>
  <c r="Z60" i="3"/>
  <c r="Q60" i="3"/>
  <c r="AR60" i="3"/>
  <c r="AH60" i="3"/>
  <c r="Y60" i="3"/>
  <c r="P60" i="3"/>
  <c r="AQ60" i="3"/>
  <c r="AG60" i="3"/>
  <c r="X60" i="3"/>
  <c r="O60" i="3"/>
  <c r="AP60" i="3"/>
  <c r="AF60" i="3"/>
  <c r="W60" i="3"/>
  <c r="M60" i="3"/>
  <c r="AO60" i="3"/>
  <c r="AE60" i="3"/>
  <c r="U60" i="3"/>
  <c r="AN60" i="3"/>
  <c r="AC60" i="3"/>
  <c r="T60" i="3"/>
  <c r="AR81" i="3"/>
  <c r="AJ81" i="3"/>
  <c r="AB81" i="3"/>
  <c r="T81" i="3"/>
  <c r="AQ81" i="3"/>
  <c r="AI81" i="3"/>
  <c r="AA81" i="3"/>
  <c r="S81" i="3"/>
  <c r="AP81" i="3"/>
  <c r="AH81" i="3"/>
  <c r="Z81" i="3"/>
  <c r="R81" i="3"/>
  <c r="AO81" i="3"/>
  <c r="AG81" i="3"/>
  <c r="Y81" i="3"/>
  <c r="Q81" i="3"/>
  <c r="AN81" i="3"/>
  <c r="AF81" i="3"/>
  <c r="X81" i="3"/>
  <c r="P81" i="3"/>
  <c r="AT81" i="3"/>
  <c r="W81" i="3"/>
  <c r="AS81" i="3"/>
  <c r="V81" i="3"/>
  <c r="AM81" i="3"/>
  <c r="U81" i="3"/>
  <c r="AL81" i="3"/>
  <c r="O81" i="3"/>
  <c r="AK81" i="3"/>
  <c r="N81" i="3"/>
  <c r="AE81" i="3"/>
  <c r="M81" i="3"/>
  <c r="AD81" i="3"/>
  <c r="AU81" i="3"/>
  <c r="AC81" i="3"/>
  <c r="AP37" i="3"/>
  <c r="AH37" i="3"/>
  <c r="Z37" i="3"/>
  <c r="R37" i="3"/>
  <c r="AO37" i="3"/>
  <c r="AG37" i="3"/>
  <c r="Y37" i="3"/>
  <c r="Q37" i="3"/>
  <c r="AN37" i="3"/>
  <c r="AF37" i="3"/>
  <c r="X37" i="3"/>
  <c r="P37" i="3"/>
  <c r="AU37" i="3"/>
  <c r="AM37" i="3"/>
  <c r="AE37" i="3"/>
  <c r="W37" i="3"/>
  <c r="O37" i="3"/>
  <c r="AT37" i="3"/>
  <c r="AL37" i="3"/>
  <c r="AD37" i="3"/>
  <c r="V37" i="3"/>
  <c r="N37" i="3"/>
  <c r="AS37" i="3"/>
  <c r="AK37" i="3"/>
  <c r="AC37" i="3"/>
  <c r="U37" i="3"/>
  <c r="M37" i="3"/>
  <c r="AR37" i="3"/>
  <c r="AJ37" i="3"/>
  <c r="AB37" i="3"/>
  <c r="T37" i="3"/>
  <c r="AQ37" i="3"/>
  <c r="AI37" i="3"/>
  <c r="AA37" i="3"/>
  <c r="S37" i="3"/>
  <c r="AU24" i="3"/>
  <c r="AM24" i="3"/>
  <c r="AE24" i="3"/>
  <c r="W24" i="3"/>
  <c r="O24" i="3"/>
  <c r="AT24" i="3"/>
  <c r="AL24" i="3"/>
  <c r="AD24" i="3"/>
  <c r="V24" i="3"/>
  <c r="N24" i="3"/>
  <c r="AK24" i="3"/>
  <c r="AA24" i="3"/>
  <c r="Q24" i="3"/>
  <c r="AJ24" i="3"/>
  <c r="Z24" i="3"/>
  <c r="P24" i="3"/>
  <c r="AS24" i="3"/>
  <c r="AI24" i="3"/>
  <c r="Y24" i="3"/>
  <c r="M24" i="3"/>
  <c r="AR24" i="3"/>
  <c r="AH24" i="3"/>
  <c r="X24" i="3"/>
  <c r="AQ24" i="3"/>
  <c r="AG24" i="3"/>
  <c r="U24" i="3"/>
  <c r="AP24" i="3"/>
  <c r="AF24" i="3"/>
  <c r="T24" i="3"/>
  <c r="AO24" i="3"/>
  <c r="AC24" i="3"/>
  <c r="S24" i="3"/>
  <c r="AN24" i="3"/>
  <c r="AB24" i="3"/>
  <c r="R24" i="3"/>
  <c r="AT8" i="3"/>
  <c r="AL8" i="3"/>
  <c r="AD8" i="3"/>
  <c r="V8" i="3"/>
  <c r="N8" i="3"/>
  <c r="AS8" i="3"/>
  <c r="AR8" i="3"/>
  <c r="AJ8" i="3"/>
  <c r="AB8" i="3"/>
  <c r="T8" i="3"/>
  <c r="AQ8" i="3"/>
  <c r="AI8" i="3"/>
  <c r="AA8" i="3"/>
  <c r="S8" i="3"/>
  <c r="AP8" i="3"/>
  <c r="AH8" i="3"/>
  <c r="Z8" i="3"/>
  <c r="R8" i="3"/>
  <c r="AO8" i="3"/>
  <c r="AG8" i="3"/>
  <c r="Y8" i="3"/>
  <c r="Q8" i="3"/>
  <c r="AN8" i="3"/>
  <c r="AF8" i="3"/>
  <c r="X8" i="3"/>
  <c r="P8" i="3"/>
  <c r="U8" i="3"/>
  <c r="O8" i="3"/>
  <c r="AU8" i="3"/>
  <c r="M8" i="3"/>
  <c r="AM8" i="3"/>
  <c r="AK8" i="3"/>
  <c r="AE8" i="3"/>
  <c r="AC8" i="3"/>
  <c r="W8" i="3"/>
  <c r="AP39" i="3"/>
  <c r="AH39" i="3"/>
  <c r="Z39" i="3"/>
  <c r="R39" i="3"/>
  <c r="AO39" i="3"/>
  <c r="AG39" i="3"/>
  <c r="Y39" i="3"/>
  <c r="Q39" i="3"/>
  <c r="AN39" i="3"/>
  <c r="AF39" i="3"/>
  <c r="X39" i="3"/>
  <c r="P39" i="3"/>
  <c r="AU39" i="3"/>
  <c r="AM39" i="3"/>
  <c r="AE39" i="3"/>
  <c r="W39" i="3"/>
  <c r="O39" i="3"/>
  <c r="AT39" i="3"/>
  <c r="AL39" i="3"/>
  <c r="AD39" i="3"/>
  <c r="V39" i="3"/>
  <c r="N39" i="3"/>
  <c r="AS39" i="3"/>
  <c r="AK39" i="3"/>
  <c r="AC39" i="3"/>
  <c r="U39" i="3"/>
  <c r="M39" i="3"/>
  <c r="AR39" i="3"/>
  <c r="AJ39" i="3"/>
  <c r="AB39" i="3"/>
  <c r="T39" i="3"/>
  <c r="AQ39" i="3"/>
  <c r="AI39" i="3"/>
  <c r="AA39" i="3"/>
  <c r="S39" i="3"/>
  <c r="AP31" i="3"/>
  <c r="AH31" i="3"/>
  <c r="Z31" i="3"/>
  <c r="R31" i="3"/>
  <c r="AU31" i="3"/>
  <c r="AM31" i="3"/>
  <c r="AE31" i="3"/>
  <c r="W31" i="3"/>
  <c r="O31" i="3"/>
  <c r="AT31" i="3"/>
  <c r="AL31" i="3"/>
  <c r="AD31" i="3"/>
  <c r="V31" i="3"/>
  <c r="N31" i="3"/>
  <c r="AS31" i="3"/>
  <c r="AK31" i="3"/>
  <c r="AC31" i="3"/>
  <c r="U31" i="3"/>
  <c r="M31" i="3"/>
  <c r="AR31" i="3"/>
  <c r="AJ31" i="3"/>
  <c r="AB31" i="3"/>
  <c r="T31" i="3"/>
  <c r="AQ31" i="3"/>
  <c r="AF31" i="3"/>
  <c r="AA31" i="3"/>
  <c r="Y31" i="3"/>
  <c r="X31" i="3"/>
  <c r="AO31" i="3"/>
  <c r="S31" i="3"/>
  <c r="AN31" i="3"/>
  <c r="Q31" i="3"/>
  <c r="AI31" i="3"/>
  <c r="P31" i="3"/>
  <c r="AG31" i="3"/>
  <c r="AT7" i="3"/>
  <c r="AL7" i="3"/>
  <c r="AD7" i="3"/>
  <c r="V7" i="3"/>
  <c r="N7" i="3"/>
  <c r="AR7" i="3"/>
  <c r="AJ7" i="3"/>
  <c r="AB7" i="3"/>
  <c r="T7" i="3"/>
  <c r="AQ7" i="3"/>
  <c r="AI7" i="3"/>
  <c r="AA7" i="3"/>
  <c r="S7" i="3"/>
  <c r="AP7" i="3"/>
  <c r="AH7" i="3"/>
  <c r="Z7" i="3"/>
  <c r="R7" i="3"/>
  <c r="AO7" i="3"/>
  <c r="AG7" i="3"/>
  <c r="Y7" i="3"/>
  <c r="Q7" i="3"/>
  <c r="AN7" i="3"/>
  <c r="AF7" i="3"/>
  <c r="X7" i="3"/>
  <c r="P7" i="3"/>
  <c r="AK7" i="3"/>
  <c r="AE7" i="3"/>
  <c r="AC7" i="3"/>
  <c r="W7" i="3"/>
  <c r="U7" i="3"/>
  <c r="AU7" i="3"/>
  <c r="O7" i="3"/>
  <c r="AS7" i="3"/>
  <c r="M7" i="3"/>
  <c r="AM7" i="3"/>
  <c r="AU9" i="3"/>
  <c r="AT9" i="3"/>
  <c r="AL9" i="3"/>
  <c r="AD9" i="3"/>
  <c r="V9" i="3"/>
  <c r="N9" i="3"/>
  <c r="AS9" i="3"/>
  <c r="AK9" i="3"/>
  <c r="AC9" i="3"/>
  <c r="U9" i="3"/>
  <c r="M9" i="3"/>
  <c r="AR9" i="3"/>
  <c r="AJ9" i="3"/>
  <c r="AB9" i="3"/>
  <c r="T9" i="3"/>
  <c r="AQ9" i="3"/>
  <c r="AI9" i="3"/>
  <c r="AA9" i="3"/>
  <c r="S9" i="3"/>
  <c r="AP9" i="3"/>
  <c r="AH9" i="3"/>
  <c r="Z9" i="3"/>
  <c r="R9" i="3"/>
  <c r="AO9" i="3"/>
  <c r="AG9" i="3"/>
  <c r="Y9" i="3"/>
  <c r="Q9" i="3"/>
  <c r="AN9" i="3"/>
  <c r="AF9" i="3"/>
  <c r="X9" i="3"/>
  <c r="P9" i="3"/>
  <c r="AM9" i="3"/>
  <c r="AE9" i="3"/>
  <c r="W9" i="3"/>
  <c r="O9" i="3"/>
  <c r="AU93" i="3"/>
  <c r="AM93" i="3"/>
  <c r="AE93" i="3"/>
  <c r="W93" i="3"/>
  <c r="O93" i="3"/>
  <c r="AT93" i="3"/>
  <c r="AL93" i="3"/>
  <c r="AD93" i="3"/>
  <c r="V93" i="3"/>
  <c r="N93" i="3"/>
  <c r="AS93" i="3"/>
  <c r="AK93" i="3"/>
  <c r="AC93" i="3"/>
  <c r="U93" i="3"/>
  <c r="M93" i="3"/>
  <c r="AQ93" i="3"/>
  <c r="AI93" i="3"/>
  <c r="AA93" i="3"/>
  <c r="S93" i="3"/>
  <c r="AP93" i="3"/>
  <c r="AH93" i="3"/>
  <c r="Z93" i="3"/>
  <c r="R93" i="3"/>
  <c r="AO93" i="3"/>
  <c r="AG93" i="3"/>
  <c r="Y93" i="3"/>
  <c r="Q93" i="3"/>
  <c r="X93" i="3"/>
  <c r="T93" i="3"/>
  <c r="P93" i="3"/>
  <c r="AR93" i="3"/>
  <c r="AN93" i="3"/>
  <c r="AJ93" i="3"/>
  <c r="AF93" i="3"/>
  <c r="AB93" i="3"/>
  <c r="AR72" i="3"/>
  <c r="AJ72" i="3"/>
  <c r="AB72" i="3"/>
  <c r="T72" i="3"/>
  <c r="AQ72" i="3"/>
  <c r="AI72" i="3"/>
  <c r="AA72" i="3"/>
  <c r="S72" i="3"/>
  <c r="AP72" i="3"/>
  <c r="AH72" i="3"/>
  <c r="Z72" i="3"/>
  <c r="R72" i="3"/>
  <c r="AN72" i="3"/>
  <c r="AF72" i="3"/>
  <c r="X72" i="3"/>
  <c r="AL72" i="3"/>
  <c r="V72" i="3"/>
  <c r="AK72" i="3"/>
  <c r="U72" i="3"/>
  <c r="AG72" i="3"/>
  <c r="Q72" i="3"/>
  <c r="AU72" i="3"/>
  <c r="AE72" i="3"/>
  <c r="P72" i="3"/>
  <c r="AT72" i="3"/>
  <c r="AD72" i="3"/>
  <c r="O72" i="3"/>
  <c r="AS72" i="3"/>
  <c r="AC72" i="3"/>
  <c r="N72" i="3"/>
  <c r="AO72" i="3"/>
  <c r="Y72" i="3"/>
  <c r="M72" i="3"/>
  <c r="AM72" i="3"/>
  <c r="W72" i="3"/>
  <c r="AP30" i="3"/>
  <c r="AH30" i="3"/>
  <c r="Z30" i="3"/>
  <c r="R30" i="3"/>
  <c r="AU30" i="3"/>
  <c r="AM30" i="3"/>
  <c r="AE30" i="3"/>
  <c r="W30" i="3"/>
  <c r="O30" i="3"/>
  <c r="AT30" i="3"/>
  <c r="AL30" i="3"/>
  <c r="AD30" i="3"/>
  <c r="V30" i="3"/>
  <c r="N30" i="3"/>
  <c r="AS30" i="3"/>
  <c r="AK30" i="3"/>
  <c r="AC30" i="3"/>
  <c r="U30" i="3"/>
  <c r="M30" i="3"/>
  <c r="AR30" i="3"/>
  <c r="AJ30" i="3"/>
  <c r="AB30" i="3"/>
  <c r="T30" i="3"/>
  <c r="AA30" i="3"/>
  <c r="Y30" i="3"/>
  <c r="AQ30" i="3"/>
  <c r="X30" i="3"/>
  <c r="AO30" i="3"/>
  <c r="S30" i="3"/>
  <c r="AN30" i="3"/>
  <c r="Q30" i="3"/>
  <c r="AI30" i="3"/>
  <c r="P30" i="3"/>
  <c r="AG30" i="3"/>
  <c r="AF30" i="3"/>
  <c r="AO65" i="3"/>
  <c r="AG65" i="3"/>
  <c r="AN65" i="3"/>
  <c r="AF65" i="3"/>
  <c r="X65" i="3"/>
  <c r="AU65" i="3"/>
  <c r="AM65" i="3"/>
  <c r="AE65" i="3"/>
  <c r="W65" i="3"/>
  <c r="O65" i="3"/>
  <c r="AT65" i="3"/>
  <c r="AL65" i="3"/>
  <c r="AD65" i="3"/>
  <c r="V65" i="3"/>
  <c r="N65" i="3"/>
  <c r="AS65" i="3"/>
  <c r="AK65" i="3"/>
  <c r="AC65" i="3"/>
  <c r="U65" i="3"/>
  <c r="M65" i="3"/>
  <c r="AP65" i="3"/>
  <c r="Z65" i="3"/>
  <c r="AR65" i="3"/>
  <c r="Y65" i="3"/>
  <c r="AQ65" i="3"/>
  <c r="T65" i="3"/>
  <c r="AJ65" i="3"/>
  <c r="S65" i="3"/>
  <c r="AI65" i="3"/>
  <c r="R65" i="3"/>
  <c r="AH65" i="3"/>
  <c r="Q65" i="3"/>
  <c r="AB65" i="3"/>
  <c r="P65" i="3"/>
  <c r="AA65" i="3"/>
  <c r="AP56" i="3"/>
  <c r="AH56" i="3"/>
  <c r="Z56" i="3"/>
  <c r="R56" i="3"/>
  <c r="AO56" i="3"/>
  <c r="AG56" i="3"/>
  <c r="Y56" i="3"/>
  <c r="Q56" i="3"/>
  <c r="AN56" i="3"/>
  <c r="AF56" i="3"/>
  <c r="X56" i="3"/>
  <c r="P56" i="3"/>
  <c r="AU56" i="3"/>
  <c r="AM56" i="3"/>
  <c r="AE56" i="3"/>
  <c r="W56" i="3"/>
  <c r="O56" i="3"/>
  <c r="AT56" i="3"/>
  <c r="AL56" i="3"/>
  <c r="AD56" i="3"/>
  <c r="V56" i="3"/>
  <c r="N56" i="3"/>
  <c r="AS56" i="3"/>
  <c r="AK56" i="3"/>
  <c r="AC56" i="3"/>
  <c r="U56" i="3"/>
  <c r="M56" i="3"/>
  <c r="AR56" i="3"/>
  <c r="AJ56" i="3"/>
  <c r="AB56" i="3"/>
  <c r="T56" i="3"/>
  <c r="AQ56" i="3"/>
  <c r="AI56" i="3"/>
  <c r="AA56" i="3"/>
  <c r="S56" i="3"/>
  <c r="AP29" i="3"/>
  <c r="AH29" i="3"/>
  <c r="Z29" i="3"/>
  <c r="R29" i="3"/>
  <c r="AU29" i="3"/>
  <c r="AM29" i="3"/>
  <c r="AE29" i="3"/>
  <c r="W29" i="3"/>
  <c r="O29" i="3"/>
  <c r="AT29" i="3"/>
  <c r="AL29" i="3"/>
  <c r="AD29" i="3"/>
  <c r="V29" i="3"/>
  <c r="N29" i="3"/>
  <c r="AS29" i="3"/>
  <c r="AK29" i="3"/>
  <c r="AC29" i="3"/>
  <c r="U29" i="3"/>
  <c r="M29" i="3"/>
  <c r="AF29" i="3"/>
  <c r="P29" i="3"/>
  <c r="AR29" i="3"/>
  <c r="AB29" i="3"/>
  <c r="AQ29" i="3"/>
  <c r="AA29" i="3"/>
  <c r="AO29" i="3"/>
  <c r="Y29" i="3"/>
  <c r="AN29" i="3"/>
  <c r="X29" i="3"/>
  <c r="AJ29" i="3"/>
  <c r="T29" i="3"/>
  <c r="AI29" i="3"/>
  <c r="S29" i="3"/>
  <c r="AG29" i="3"/>
  <c r="Q29" i="3"/>
  <c r="AO69" i="3"/>
  <c r="AG69" i="3"/>
  <c r="Y69" i="3"/>
  <c r="Q69" i="3"/>
  <c r="AN69" i="3"/>
  <c r="AF69" i="3"/>
  <c r="X69" i="3"/>
  <c r="P69" i="3"/>
  <c r="AU69" i="3"/>
  <c r="AM69" i="3"/>
  <c r="AE69" i="3"/>
  <c r="W69" i="3"/>
  <c r="O69" i="3"/>
  <c r="AT69" i="3"/>
  <c r="AL69" i="3"/>
  <c r="AD69" i="3"/>
  <c r="V69" i="3"/>
  <c r="N69" i="3"/>
  <c r="AS69" i="3"/>
  <c r="AK69" i="3"/>
  <c r="AC69" i="3"/>
  <c r="U69" i="3"/>
  <c r="M69" i="3"/>
  <c r="AR69" i="3"/>
  <c r="AJ69" i="3"/>
  <c r="AB69" i="3"/>
  <c r="T69" i="3"/>
  <c r="AQ69" i="3"/>
  <c r="AI69" i="3"/>
  <c r="AP69" i="3"/>
  <c r="AH69" i="3"/>
  <c r="Z69" i="3"/>
  <c r="R69" i="3"/>
  <c r="AA69" i="3"/>
  <c r="S69" i="3"/>
  <c r="AP59" i="3"/>
  <c r="AH59" i="3"/>
  <c r="Z59" i="3"/>
  <c r="R59" i="3"/>
  <c r="AO59" i="3"/>
  <c r="AG59" i="3"/>
  <c r="Y59" i="3"/>
  <c r="Q59" i="3"/>
  <c r="AN59" i="3"/>
  <c r="AF59" i="3"/>
  <c r="X59" i="3"/>
  <c r="P59" i="3"/>
  <c r="AU59" i="3"/>
  <c r="AM59" i="3"/>
  <c r="AE59" i="3"/>
  <c r="W59" i="3"/>
  <c r="O59" i="3"/>
  <c r="AT59" i="3"/>
  <c r="AL59" i="3"/>
  <c r="AD59" i="3"/>
  <c r="V59" i="3"/>
  <c r="N59" i="3"/>
  <c r="AS59" i="3"/>
  <c r="AK59" i="3"/>
  <c r="AC59" i="3"/>
  <c r="U59" i="3"/>
  <c r="M59" i="3"/>
  <c r="AR59" i="3"/>
  <c r="AJ59" i="3"/>
  <c r="AB59" i="3"/>
  <c r="T59" i="3"/>
  <c r="AQ59" i="3"/>
  <c r="AI59" i="3"/>
  <c r="AA59" i="3"/>
  <c r="S59" i="3"/>
  <c r="AP53" i="3"/>
  <c r="AH53" i="3"/>
  <c r="Z53" i="3"/>
  <c r="R53" i="3"/>
  <c r="AO53" i="3"/>
  <c r="AG53" i="3"/>
  <c r="Y53" i="3"/>
  <c r="Q53" i="3"/>
  <c r="AN53" i="3"/>
  <c r="AF53" i="3"/>
  <c r="X53" i="3"/>
  <c r="P53" i="3"/>
  <c r="AU53" i="3"/>
  <c r="AM53" i="3"/>
  <c r="AE53" i="3"/>
  <c r="W53" i="3"/>
  <c r="O53" i="3"/>
  <c r="AT53" i="3"/>
  <c r="AL53" i="3"/>
  <c r="AD53" i="3"/>
  <c r="V53" i="3"/>
  <c r="N53" i="3"/>
  <c r="AS53" i="3"/>
  <c r="AK53" i="3"/>
  <c r="AC53" i="3"/>
  <c r="U53" i="3"/>
  <c r="M53" i="3"/>
  <c r="AR53" i="3"/>
  <c r="AJ53" i="3"/>
  <c r="AB53" i="3"/>
  <c r="T53" i="3"/>
  <c r="AQ53" i="3"/>
  <c r="AI53" i="3"/>
  <c r="AA53" i="3"/>
  <c r="S53" i="3"/>
  <c r="AU14" i="3"/>
  <c r="AM14" i="3"/>
  <c r="AE14" i="3"/>
  <c r="W14" i="3"/>
  <c r="O14" i="3"/>
  <c r="AT14" i="3"/>
  <c r="AL14" i="3"/>
  <c r="AD14" i="3"/>
  <c r="V14" i="3"/>
  <c r="N14" i="3"/>
  <c r="AS14" i="3"/>
  <c r="AK14" i="3"/>
  <c r="AC14" i="3"/>
  <c r="U14" i="3"/>
  <c r="M14" i="3"/>
  <c r="AR14" i="3"/>
  <c r="AJ14" i="3"/>
  <c r="AB14" i="3"/>
  <c r="T14" i="3"/>
  <c r="AQ14" i="3"/>
  <c r="AI14" i="3"/>
  <c r="AA14" i="3"/>
  <c r="S14" i="3"/>
  <c r="AP14" i="3"/>
  <c r="AH14" i="3"/>
  <c r="Z14" i="3"/>
  <c r="R14" i="3"/>
  <c r="AO14" i="3"/>
  <c r="AG14" i="3"/>
  <c r="Y14" i="3"/>
  <c r="Q14" i="3"/>
  <c r="AN14" i="3"/>
  <c r="AF14" i="3"/>
  <c r="X14" i="3"/>
  <c r="P14" i="3"/>
  <c r="AU21" i="3"/>
  <c r="AM21" i="3"/>
  <c r="AE21" i="3"/>
  <c r="W21" i="3"/>
  <c r="O21" i="3"/>
  <c r="AT21" i="3"/>
  <c r="AL21" i="3"/>
  <c r="AD21" i="3"/>
  <c r="V21" i="3"/>
  <c r="N21" i="3"/>
  <c r="AS21" i="3"/>
  <c r="AK21" i="3"/>
  <c r="AC21" i="3"/>
  <c r="U21" i="3"/>
  <c r="M21" i="3"/>
  <c r="AR21" i="3"/>
  <c r="AJ21" i="3"/>
  <c r="AB21" i="3"/>
  <c r="T21" i="3"/>
  <c r="AQ21" i="3"/>
  <c r="AI21" i="3"/>
  <c r="AA21" i="3"/>
  <c r="S21" i="3"/>
  <c r="AP21" i="3"/>
  <c r="AH21" i="3"/>
  <c r="Z21" i="3"/>
  <c r="R21" i="3"/>
  <c r="AO21" i="3"/>
  <c r="AG21" i="3"/>
  <c r="Y21" i="3"/>
  <c r="Q21" i="3"/>
  <c r="AN21" i="3"/>
  <c r="AF21" i="3"/>
  <c r="X21" i="3"/>
  <c r="P21" i="3"/>
  <c r="AU23" i="3"/>
  <c r="AM23" i="3"/>
  <c r="AE23" i="3"/>
  <c r="W23" i="3"/>
  <c r="O23" i="3"/>
  <c r="AT23" i="3"/>
  <c r="AL23" i="3"/>
  <c r="AD23" i="3"/>
  <c r="V23" i="3"/>
  <c r="N23" i="3"/>
  <c r="AS23" i="3"/>
  <c r="AK23" i="3"/>
  <c r="AC23" i="3"/>
  <c r="U23" i="3"/>
  <c r="M23" i="3"/>
  <c r="AR23" i="3"/>
  <c r="AJ23" i="3"/>
  <c r="AB23" i="3"/>
  <c r="T23" i="3"/>
  <c r="AQ23" i="3"/>
  <c r="AI23" i="3"/>
  <c r="AA23" i="3"/>
  <c r="S23" i="3"/>
  <c r="AP23" i="3"/>
  <c r="AH23" i="3"/>
  <c r="Z23" i="3"/>
  <c r="R23" i="3"/>
  <c r="AO23" i="3"/>
  <c r="AG23" i="3"/>
  <c r="Y23" i="3"/>
  <c r="Q23" i="3"/>
  <c r="AN23" i="3"/>
  <c r="AF23" i="3"/>
  <c r="X23" i="3"/>
  <c r="P23" i="3"/>
  <c r="AU43" i="3"/>
  <c r="AM43" i="3"/>
  <c r="AE43" i="3"/>
  <c r="W43" i="3"/>
  <c r="O43" i="3"/>
  <c r="AT43" i="3"/>
  <c r="AK43" i="3"/>
  <c r="AB43" i="3"/>
  <c r="S43" i="3"/>
  <c r="AS43" i="3"/>
  <c r="AJ43" i="3"/>
  <c r="AA43" i="3"/>
  <c r="R43" i="3"/>
  <c r="AR43" i="3"/>
  <c r="AI43" i="3"/>
  <c r="Z43" i="3"/>
  <c r="Q43" i="3"/>
  <c r="AQ43" i="3"/>
  <c r="AH43" i="3"/>
  <c r="Y43" i="3"/>
  <c r="P43" i="3"/>
  <c r="AP43" i="3"/>
  <c r="AG43" i="3"/>
  <c r="X43" i="3"/>
  <c r="N43" i="3"/>
  <c r="AO43" i="3"/>
  <c r="AF43" i="3"/>
  <c r="V43" i="3"/>
  <c r="M43" i="3"/>
  <c r="AN43" i="3"/>
  <c r="AD43" i="3"/>
  <c r="U43" i="3"/>
  <c r="AL43" i="3"/>
  <c r="AC43" i="3"/>
  <c r="T43" i="3"/>
  <c r="AP27" i="3"/>
  <c r="AH27" i="3"/>
  <c r="Z27" i="3"/>
  <c r="R27" i="3"/>
  <c r="AU27" i="3"/>
  <c r="AM27" i="3"/>
  <c r="AE27" i="3"/>
  <c r="W27" i="3"/>
  <c r="O27" i="3"/>
  <c r="AT27" i="3"/>
  <c r="AL27" i="3"/>
  <c r="AD27" i="3"/>
  <c r="V27" i="3"/>
  <c r="N27" i="3"/>
  <c r="AS27" i="3"/>
  <c r="AK27" i="3"/>
  <c r="AC27" i="3"/>
  <c r="U27" i="3"/>
  <c r="M27" i="3"/>
  <c r="AF27" i="3"/>
  <c r="P27" i="3"/>
  <c r="AR27" i="3"/>
  <c r="AB27" i="3"/>
  <c r="AQ27" i="3"/>
  <c r="AA27" i="3"/>
  <c r="AO27" i="3"/>
  <c r="Y27" i="3"/>
  <c r="AN27" i="3"/>
  <c r="X27" i="3"/>
  <c r="AJ27" i="3"/>
  <c r="T27" i="3"/>
  <c r="AI27" i="3"/>
  <c r="S27" i="3"/>
  <c r="AG27" i="3"/>
  <c r="Q27" i="3"/>
  <c r="AU85" i="3"/>
  <c r="AM85" i="3"/>
  <c r="AE85" i="3"/>
  <c r="AT85" i="3"/>
  <c r="AL85" i="3"/>
  <c r="AD85" i="3"/>
  <c r="V85" i="3"/>
  <c r="N85" i="3"/>
  <c r="AS85" i="3"/>
  <c r="AK85" i="3"/>
  <c r="AC85" i="3"/>
  <c r="U85" i="3"/>
  <c r="M85" i="3"/>
  <c r="AI85" i="3"/>
  <c r="X85" i="3"/>
  <c r="AH85" i="3"/>
  <c r="W85" i="3"/>
  <c r="AR85" i="3"/>
  <c r="AG85" i="3"/>
  <c r="T85" i="3"/>
  <c r="AQ85" i="3"/>
  <c r="AF85" i="3"/>
  <c r="S85" i="3"/>
  <c r="AP85" i="3"/>
  <c r="AB85" i="3"/>
  <c r="R85" i="3"/>
  <c r="Q85" i="3"/>
  <c r="P85" i="3"/>
  <c r="AO85" i="3"/>
  <c r="O85" i="3"/>
  <c r="AN85" i="3"/>
  <c r="AJ85" i="3"/>
  <c r="AA85" i="3"/>
  <c r="Z85" i="3"/>
  <c r="Y85" i="3"/>
  <c r="AP49" i="3"/>
  <c r="AH49" i="3"/>
  <c r="Z49" i="3"/>
  <c r="R49" i="3"/>
  <c r="AO49" i="3"/>
  <c r="AG49" i="3"/>
  <c r="Y49" i="3"/>
  <c r="Q49" i="3"/>
  <c r="AN49" i="3"/>
  <c r="AF49" i="3"/>
  <c r="X49" i="3"/>
  <c r="P49" i="3"/>
  <c r="AU49" i="3"/>
  <c r="AM49" i="3"/>
  <c r="AE49" i="3"/>
  <c r="W49" i="3"/>
  <c r="O49" i="3"/>
  <c r="AT49" i="3"/>
  <c r="AL49" i="3"/>
  <c r="AD49" i="3"/>
  <c r="V49" i="3"/>
  <c r="N49" i="3"/>
  <c r="AS49" i="3"/>
  <c r="AK49" i="3"/>
  <c r="AC49" i="3"/>
  <c r="U49" i="3"/>
  <c r="M49" i="3"/>
  <c r="AR49" i="3"/>
  <c r="AJ49" i="3"/>
  <c r="AB49" i="3"/>
  <c r="T49" i="3"/>
  <c r="AQ49" i="3"/>
  <c r="AI49" i="3"/>
  <c r="AA49" i="3"/>
  <c r="S49" i="3"/>
  <c r="AP25" i="3"/>
  <c r="AH25" i="3"/>
  <c r="Z25" i="3"/>
  <c r="R25" i="3"/>
  <c r="AU25" i="3"/>
  <c r="AM25" i="3"/>
  <c r="AE25" i="3"/>
  <c r="W25" i="3"/>
  <c r="O25" i="3"/>
  <c r="AT25" i="3"/>
  <c r="AL25" i="3"/>
  <c r="AD25" i="3"/>
  <c r="V25" i="3"/>
  <c r="N25" i="3"/>
  <c r="AS25" i="3"/>
  <c r="AK25" i="3"/>
  <c r="AC25" i="3"/>
  <c r="U25" i="3"/>
  <c r="M25" i="3"/>
  <c r="AN25" i="3"/>
  <c r="X25" i="3"/>
  <c r="AJ25" i="3"/>
  <c r="T25" i="3"/>
  <c r="AI25" i="3"/>
  <c r="S25" i="3"/>
  <c r="AG25" i="3"/>
  <c r="Q25" i="3"/>
  <c r="AF25" i="3"/>
  <c r="P25" i="3"/>
  <c r="AR25" i="3"/>
  <c r="AB25" i="3"/>
  <c r="AQ25" i="3"/>
  <c r="AA25" i="3"/>
  <c r="AO25" i="3"/>
  <c r="Y25" i="3"/>
  <c r="AP28" i="3"/>
  <c r="AH28" i="3"/>
  <c r="Z28" i="3"/>
  <c r="R28" i="3"/>
  <c r="AU28" i="3"/>
  <c r="AM28" i="3"/>
  <c r="AE28" i="3"/>
  <c r="W28" i="3"/>
  <c r="O28" i="3"/>
  <c r="AT28" i="3"/>
  <c r="AL28" i="3"/>
  <c r="AD28" i="3"/>
  <c r="V28" i="3"/>
  <c r="N28" i="3"/>
  <c r="AS28" i="3"/>
  <c r="AK28" i="3"/>
  <c r="AC28" i="3"/>
  <c r="U28" i="3"/>
  <c r="M28" i="3"/>
  <c r="AN28" i="3"/>
  <c r="X28" i="3"/>
  <c r="AJ28" i="3"/>
  <c r="T28" i="3"/>
  <c r="AI28" i="3"/>
  <c r="S28" i="3"/>
  <c r="AG28" i="3"/>
  <c r="Q28" i="3"/>
  <c r="AF28" i="3"/>
  <c r="P28" i="3"/>
  <c r="AR28" i="3"/>
  <c r="AB28" i="3"/>
  <c r="AQ28" i="3"/>
  <c r="AA28" i="3"/>
  <c r="AO28" i="3"/>
  <c r="Y28" i="3"/>
  <c r="AU95" i="3"/>
  <c r="AM95" i="3"/>
  <c r="AE95" i="3"/>
  <c r="W95" i="3"/>
  <c r="O95" i="3"/>
  <c r="AT95" i="3"/>
  <c r="AL95" i="3"/>
  <c r="AD95" i="3"/>
  <c r="V95" i="3"/>
  <c r="N95" i="3"/>
  <c r="AS95" i="3"/>
  <c r="AK95" i="3"/>
  <c r="AC95" i="3"/>
  <c r="U95" i="3"/>
  <c r="M95" i="3"/>
  <c r="AQ95" i="3"/>
  <c r="AI95" i="3"/>
  <c r="AA95" i="3"/>
  <c r="S95" i="3"/>
  <c r="AP95" i="3"/>
  <c r="AH95" i="3"/>
  <c r="Z95" i="3"/>
  <c r="R95" i="3"/>
  <c r="AO95" i="3"/>
  <c r="AG95" i="3"/>
  <c r="Y95" i="3"/>
  <c r="Q95" i="3"/>
  <c r="AF95" i="3"/>
  <c r="AB95" i="3"/>
  <c r="X95" i="3"/>
  <c r="T95" i="3"/>
  <c r="P95" i="3"/>
  <c r="AR95" i="3"/>
  <c r="AN95" i="3"/>
  <c r="AJ95" i="3"/>
  <c r="AR76" i="3"/>
  <c r="AJ76" i="3"/>
  <c r="AB76" i="3"/>
  <c r="T76" i="3"/>
  <c r="AQ76" i="3"/>
  <c r="AI76" i="3"/>
  <c r="AA76" i="3"/>
  <c r="S76" i="3"/>
  <c r="AP76" i="3"/>
  <c r="AH76" i="3"/>
  <c r="Z76" i="3"/>
  <c r="R76" i="3"/>
  <c r="AN76" i="3"/>
  <c r="AF76" i="3"/>
  <c r="X76" i="3"/>
  <c r="P76" i="3"/>
  <c r="AM76" i="3"/>
  <c r="W76" i="3"/>
  <c r="AL76" i="3"/>
  <c r="V76" i="3"/>
  <c r="AK76" i="3"/>
  <c r="U76" i="3"/>
  <c r="AG76" i="3"/>
  <c r="Q76" i="3"/>
  <c r="AU76" i="3"/>
  <c r="AE76" i="3"/>
  <c r="O76" i="3"/>
  <c r="AT76" i="3"/>
  <c r="AD76" i="3"/>
  <c r="N76" i="3"/>
  <c r="AS76" i="3"/>
  <c r="AC76" i="3"/>
  <c r="M76" i="3"/>
  <c r="AO76" i="3"/>
  <c r="Y76" i="3"/>
  <c r="AP48" i="3"/>
  <c r="AH48" i="3"/>
  <c r="Z48" i="3"/>
  <c r="R48" i="3"/>
  <c r="AO48" i="3"/>
  <c r="AG48" i="3"/>
  <c r="Y48" i="3"/>
  <c r="Q48" i="3"/>
  <c r="AN48" i="3"/>
  <c r="AF48" i="3"/>
  <c r="X48" i="3"/>
  <c r="P48" i="3"/>
  <c r="AU48" i="3"/>
  <c r="AM48" i="3"/>
  <c r="AE48" i="3"/>
  <c r="W48" i="3"/>
  <c r="O48" i="3"/>
  <c r="AT48" i="3"/>
  <c r="AL48" i="3"/>
  <c r="AD48" i="3"/>
  <c r="V48" i="3"/>
  <c r="N48" i="3"/>
  <c r="AS48" i="3"/>
  <c r="AK48" i="3"/>
  <c r="AC48" i="3"/>
  <c r="U48" i="3"/>
  <c r="M48" i="3"/>
  <c r="AR48" i="3"/>
  <c r="AJ48" i="3"/>
  <c r="AB48" i="3"/>
  <c r="T48" i="3"/>
  <c r="AQ48" i="3"/>
  <c r="AI48" i="3"/>
  <c r="AA48" i="3"/>
  <c r="S48" i="3"/>
  <c r="AP54" i="3"/>
  <c r="AH54" i="3"/>
  <c r="Z54" i="3"/>
  <c r="R54" i="3"/>
  <c r="AO54" i="3"/>
  <c r="AG54" i="3"/>
  <c r="Y54" i="3"/>
  <c r="Q54" i="3"/>
  <c r="AN54" i="3"/>
  <c r="AF54" i="3"/>
  <c r="X54" i="3"/>
  <c r="P54" i="3"/>
  <c r="AU54" i="3"/>
  <c r="AM54" i="3"/>
  <c r="AE54" i="3"/>
  <c r="W54" i="3"/>
  <c r="O54" i="3"/>
  <c r="AT54" i="3"/>
  <c r="AL54" i="3"/>
  <c r="AD54" i="3"/>
  <c r="V54" i="3"/>
  <c r="N54" i="3"/>
  <c r="AS54" i="3"/>
  <c r="AK54" i="3"/>
  <c r="AC54" i="3"/>
  <c r="U54" i="3"/>
  <c r="M54" i="3"/>
  <c r="AR54" i="3"/>
  <c r="AJ54" i="3"/>
  <c r="AB54" i="3"/>
  <c r="T54" i="3"/>
  <c r="AQ54" i="3"/>
  <c r="AI54" i="3"/>
  <c r="AA54" i="3"/>
  <c r="S54" i="3"/>
  <c r="AR75" i="3"/>
  <c r="AJ75" i="3"/>
  <c r="AB75" i="3"/>
  <c r="T75" i="3"/>
  <c r="AQ75" i="3"/>
  <c r="AI75" i="3"/>
  <c r="AA75" i="3"/>
  <c r="S75" i="3"/>
  <c r="AP75" i="3"/>
  <c r="AH75" i="3"/>
  <c r="Z75" i="3"/>
  <c r="R75" i="3"/>
  <c r="AN75" i="3"/>
  <c r="AF75" i="3"/>
  <c r="X75" i="3"/>
  <c r="P75" i="3"/>
  <c r="AG75" i="3"/>
  <c r="Q75" i="3"/>
  <c r="AU75" i="3"/>
  <c r="AE75" i="3"/>
  <c r="O75" i="3"/>
  <c r="AT75" i="3"/>
  <c r="AD75" i="3"/>
  <c r="N75" i="3"/>
  <c r="AS75" i="3"/>
  <c r="AC75" i="3"/>
  <c r="M75" i="3"/>
  <c r="AO75" i="3"/>
  <c r="Y75" i="3"/>
  <c r="AM75" i="3"/>
  <c r="W75" i="3"/>
  <c r="AL75" i="3"/>
  <c r="V75" i="3"/>
  <c r="AK75" i="3"/>
  <c r="U75" i="3"/>
  <c r="AU13" i="3"/>
  <c r="AM13" i="3"/>
  <c r="AE13" i="3"/>
  <c r="W13" i="3"/>
  <c r="O13" i="3"/>
  <c r="AT13" i="3"/>
  <c r="AL13" i="3"/>
  <c r="AD13" i="3"/>
  <c r="V13" i="3"/>
  <c r="N13" i="3"/>
  <c r="AS13" i="3"/>
  <c r="AK13" i="3"/>
  <c r="AC13" i="3"/>
  <c r="U13" i="3"/>
  <c r="M13" i="3"/>
  <c r="AR13" i="3"/>
  <c r="AJ13" i="3"/>
  <c r="AB13" i="3"/>
  <c r="T13" i="3"/>
  <c r="AQ13" i="3"/>
  <c r="AI13" i="3"/>
  <c r="AA13" i="3"/>
  <c r="S13" i="3"/>
  <c r="AP13" i="3"/>
  <c r="AH13" i="3"/>
  <c r="Z13" i="3"/>
  <c r="R13" i="3"/>
  <c r="AO13" i="3"/>
  <c r="AG13" i="3"/>
  <c r="Y13" i="3"/>
  <c r="Q13" i="3"/>
  <c r="AN13" i="3"/>
  <c r="AF13" i="3"/>
  <c r="X13" i="3"/>
  <c r="P13" i="3"/>
  <c r="AU20" i="3"/>
  <c r="AM20" i="3"/>
  <c r="AE20" i="3"/>
  <c r="W20" i="3"/>
  <c r="O20" i="3"/>
  <c r="AT20" i="3"/>
  <c r="AL20" i="3"/>
  <c r="AD20" i="3"/>
  <c r="V20" i="3"/>
  <c r="N20" i="3"/>
  <c r="AS20" i="3"/>
  <c r="AK20" i="3"/>
  <c r="AC20" i="3"/>
  <c r="U20" i="3"/>
  <c r="M20" i="3"/>
  <c r="AR20" i="3"/>
  <c r="AJ20" i="3"/>
  <c r="AB20" i="3"/>
  <c r="T20" i="3"/>
  <c r="AQ20" i="3"/>
  <c r="AI20" i="3"/>
  <c r="AA20" i="3"/>
  <c r="S20" i="3"/>
  <c r="AP20" i="3"/>
  <c r="AH20" i="3"/>
  <c r="Z20" i="3"/>
  <c r="R20" i="3"/>
  <c r="AO20" i="3"/>
  <c r="AG20" i="3"/>
  <c r="Y20" i="3"/>
  <c r="Q20" i="3"/>
  <c r="AN20" i="3"/>
  <c r="AF20" i="3"/>
  <c r="X20" i="3"/>
  <c r="P20" i="3"/>
  <c r="AR83" i="3"/>
  <c r="AJ83" i="3"/>
  <c r="AB83" i="3"/>
  <c r="T83" i="3"/>
  <c r="AQ83" i="3"/>
  <c r="AI83" i="3"/>
  <c r="AA83" i="3"/>
  <c r="S83" i="3"/>
  <c r="AP83" i="3"/>
  <c r="AH83" i="3"/>
  <c r="Z83" i="3"/>
  <c r="R83" i="3"/>
  <c r="AO83" i="3"/>
  <c r="AG83" i="3"/>
  <c r="Y83" i="3"/>
  <c r="Q83" i="3"/>
  <c r="AN83" i="3"/>
  <c r="AF83" i="3"/>
  <c r="X83" i="3"/>
  <c r="P83" i="3"/>
  <c r="AS83" i="3"/>
  <c r="V83" i="3"/>
  <c r="AM83" i="3"/>
  <c r="U83" i="3"/>
  <c r="AL83" i="3"/>
  <c r="O83" i="3"/>
  <c r="AK83" i="3"/>
  <c r="N83" i="3"/>
  <c r="AE83" i="3"/>
  <c r="M83" i="3"/>
  <c r="AD83" i="3"/>
  <c r="AU83" i="3"/>
  <c r="AC83" i="3"/>
  <c r="AT83" i="3"/>
  <c r="W83" i="3"/>
  <c r="AO71" i="3"/>
  <c r="AG71" i="3"/>
  <c r="Y71" i="3"/>
  <c r="Q71" i="3"/>
  <c r="AN71" i="3"/>
  <c r="AF71" i="3"/>
  <c r="X71" i="3"/>
  <c r="P71" i="3"/>
  <c r="AU71" i="3"/>
  <c r="AM71" i="3"/>
  <c r="AE71" i="3"/>
  <c r="W71" i="3"/>
  <c r="O71" i="3"/>
  <c r="AT71" i="3"/>
  <c r="AL71" i="3"/>
  <c r="AD71" i="3"/>
  <c r="V71" i="3"/>
  <c r="N71" i="3"/>
  <c r="AS71" i="3"/>
  <c r="AK71" i="3"/>
  <c r="AC71" i="3"/>
  <c r="U71" i="3"/>
  <c r="M71" i="3"/>
  <c r="AR71" i="3"/>
  <c r="AJ71" i="3"/>
  <c r="AB71" i="3"/>
  <c r="T71" i="3"/>
  <c r="AQ71" i="3"/>
  <c r="AI71" i="3"/>
  <c r="AA71" i="3"/>
  <c r="S71" i="3"/>
  <c r="AP71" i="3"/>
  <c r="AH71" i="3"/>
  <c r="Z71" i="3"/>
  <c r="R71" i="3"/>
  <c r="AR80" i="3"/>
  <c r="AJ80" i="3"/>
  <c r="AB80" i="3"/>
  <c r="T80" i="3"/>
  <c r="AQ80" i="3"/>
  <c r="AI80" i="3"/>
  <c r="AA80" i="3"/>
  <c r="S80" i="3"/>
  <c r="AP80" i="3"/>
  <c r="AH80" i="3"/>
  <c r="Z80" i="3"/>
  <c r="R80" i="3"/>
  <c r="AO80" i="3"/>
  <c r="AG80" i="3"/>
  <c r="Y80" i="3"/>
  <c r="Q80" i="3"/>
  <c r="AN80" i="3"/>
  <c r="AF80" i="3"/>
  <c r="X80" i="3"/>
  <c r="P80" i="3"/>
  <c r="AU80" i="3"/>
  <c r="AC80" i="3"/>
  <c r="AT80" i="3"/>
  <c r="W80" i="3"/>
  <c r="AS80" i="3"/>
  <c r="V80" i="3"/>
  <c r="AM80" i="3"/>
  <c r="U80" i="3"/>
  <c r="AL80" i="3"/>
  <c r="O80" i="3"/>
  <c r="AK80" i="3"/>
  <c r="N80" i="3"/>
  <c r="AE80" i="3"/>
  <c r="M80" i="3"/>
  <c r="AD80" i="3"/>
  <c r="AU86" i="3"/>
  <c r="AM86" i="3"/>
  <c r="AE86" i="3"/>
  <c r="W86" i="3"/>
  <c r="O86" i="3"/>
  <c r="AT86" i="3"/>
  <c r="AL86" i="3"/>
  <c r="AD86" i="3"/>
  <c r="V86" i="3"/>
  <c r="N86" i="3"/>
  <c r="AS86" i="3"/>
  <c r="AK86" i="3"/>
  <c r="AC86" i="3"/>
  <c r="U86" i="3"/>
  <c r="M86" i="3"/>
  <c r="AH86" i="3"/>
  <c r="T86" i="3"/>
  <c r="AR86" i="3"/>
  <c r="AG86" i="3"/>
  <c r="S86" i="3"/>
  <c r="AQ86" i="3"/>
  <c r="AF86" i="3"/>
  <c r="R86" i="3"/>
  <c r="AP86" i="3"/>
  <c r="AB86" i="3"/>
  <c r="Q86" i="3"/>
  <c r="AO86" i="3"/>
  <c r="AA86" i="3"/>
  <c r="P86" i="3"/>
  <c r="AJ86" i="3"/>
  <c r="AI86" i="3"/>
  <c r="Z86" i="3"/>
  <c r="Y86" i="3"/>
  <c r="X86" i="3"/>
  <c r="AN86" i="3"/>
  <c r="AP41" i="3"/>
  <c r="AH41" i="3"/>
  <c r="Z41" i="3"/>
  <c r="R41" i="3"/>
  <c r="AO41" i="3"/>
  <c r="AG41" i="3"/>
  <c r="Y41" i="3"/>
  <c r="Q41" i="3"/>
  <c r="AN41" i="3"/>
  <c r="AF41" i="3"/>
  <c r="X41" i="3"/>
  <c r="P41" i="3"/>
  <c r="AU41" i="3"/>
  <c r="AM41" i="3"/>
  <c r="AE41" i="3"/>
  <c r="W41" i="3"/>
  <c r="O41" i="3"/>
  <c r="AT41" i="3"/>
  <c r="AL41" i="3"/>
  <c r="AD41" i="3"/>
  <c r="V41" i="3"/>
  <c r="N41" i="3"/>
  <c r="AS41" i="3"/>
  <c r="AK41" i="3"/>
  <c r="AC41" i="3"/>
  <c r="U41" i="3"/>
  <c r="M41" i="3"/>
  <c r="AR41" i="3"/>
  <c r="AJ41" i="3"/>
  <c r="AB41" i="3"/>
  <c r="T41" i="3"/>
  <c r="AQ41" i="3"/>
  <c r="AI41" i="3"/>
  <c r="AA41" i="3"/>
  <c r="S41" i="3"/>
  <c r="AP33" i="3"/>
  <c r="AH33" i="3"/>
  <c r="Z33" i="3"/>
  <c r="R33" i="3"/>
  <c r="AU33" i="3"/>
  <c r="AM33" i="3"/>
  <c r="AE33" i="3"/>
  <c r="W33" i="3"/>
  <c r="O33" i="3"/>
  <c r="AT33" i="3"/>
  <c r="AL33" i="3"/>
  <c r="AD33" i="3"/>
  <c r="V33" i="3"/>
  <c r="N33" i="3"/>
  <c r="AS33" i="3"/>
  <c r="AK33" i="3"/>
  <c r="AC33" i="3"/>
  <c r="U33" i="3"/>
  <c r="M33" i="3"/>
  <c r="AR33" i="3"/>
  <c r="AJ33" i="3"/>
  <c r="AB33" i="3"/>
  <c r="T33" i="3"/>
  <c r="AQ33" i="3"/>
  <c r="AI33" i="3"/>
  <c r="AA33" i="3"/>
  <c r="S33" i="3"/>
  <c r="AO33" i="3"/>
  <c r="AN33" i="3"/>
  <c r="AG33" i="3"/>
  <c r="AF33" i="3"/>
  <c r="Y33" i="3"/>
  <c r="X33" i="3"/>
  <c r="Q33" i="3"/>
  <c r="P33" i="3"/>
  <c r="AR78" i="3"/>
  <c r="AJ78" i="3"/>
  <c r="AB78" i="3"/>
  <c r="T78" i="3"/>
  <c r="AQ78" i="3"/>
  <c r="AI78" i="3"/>
  <c r="AA78" i="3"/>
  <c r="S78" i="3"/>
  <c r="AP78" i="3"/>
  <c r="AH78" i="3"/>
  <c r="Z78" i="3"/>
  <c r="R78" i="3"/>
  <c r="AN78" i="3"/>
  <c r="AF78" i="3"/>
  <c r="X78" i="3"/>
  <c r="P78" i="3"/>
  <c r="AK78" i="3"/>
  <c r="U78" i="3"/>
  <c r="AG78" i="3"/>
  <c r="Q78" i="3"/>
  <c r="AU78" i="3"/>
  <c r="AE78" i="3"/>
  <c r="O78" i="3"/>
  <c r="AT78" i="3"/>
  <c r="AD78" i="3"/>
  <c r="N78" i="3"/>
  <c r="AS78" i="3"/>
  <c r="AC78" i="3"/>
  <c r="M78" i="3"/>
  <c r="AO78" i="3"/>
  <c r="Y78" i="3"/>
  <c r="AM78" i="3"/>
  <c r="W78" i="3"/>
  <c r="AL78" i="3"/>
  <c r="V78" i="3"/>
  <c r="AP52" i="3"/>
  <c r="AH52" i="3"/>
  <c r="Z52" i="3"/>
  <c r="R52" i="3"/>
  <c r="AO52" i="3"/>
  <c r="AG52" i="3"/>
  <c r="Y52" i="3"/>
  <c r="Q52" i="3"/>
  <c r="AN52" i="3"/>
  <c r="AF52" i="3"/>
  <c r="X52" i="3"/>
  <c r="P52" i="3"/>
  <c r="AU52" i="3"/>
  <c r="AM52" i="3"/>
  <c r="AE52" i="3"/>
  <c r="W52" i="3"/>
  <c r="O52" i="3"/>
  <c r="AT52" i="3"/>
  <c r="AL52" i="3"/>
  <c r="AD52" i="3"/>
  <c r="V52" i="3"/>
  <c r="N52" i="3"/>
  <c r="AS52" i="3"/>
  <c r="AK52" i="3"/>
  <c r="AC52" i="3"/>
  <c r="U52" i="3"/>
  <c r="M52" i="3"/>
  <c r="AR52" i="3"/>
  <c r="AJ52" i="3"/>
  <c r="AB52" i="3"/>
  <c r="T52" i="3"/>
  <c r="AQ52" i="3"/>
  <c r="AI52" i="3"/>
  <c r="AA52" i="3"/>
  <c r="S52" i="3"/>
  <c r="AP55" i="3"/>
  <c r="AH55" i="3"/>
  <c r="Z55" i="3"/>
  <c r="R55" i="3"/>
  <c r="AO55" i="3"/>
  <c r="AG55" i="3"/>
  <c r="Y55" i="3"/>
  <c r="Q55" i="3"/>
  <c r="AN55" i="3"/>
  <c r="AF55" i="3"/>
  <c r="X55" i="3"/>
  <c r="P55" i="3"/>
  <c r="AU55" i="3"/>
  <c r="AM55" i="3"/>
  <c r="AE55" i="3"/>
  <c r="W55" i="3"/>
  <c r="O55" i="3"/>
  <c r="AT55" i="3"/>
  <c r="AL55" i="3"/>
  <c r="AD55" i="3"/>
  <c r="V55" i="3"/>
  <c r="N55" i="3"/>
  <c r="AS55" i="3"/>
  <c r="AK55" i="3"/>
  <c r="AC55" i="3"/>
  <c r="U55" i="3"/>
  <c r="M55" i="3"/>
  <c r="AR55" i="3"/>
  <c r="AJ55" i="3"/>
  <c r="AB55" i="3"/>
  <c r="T55" i="3"/>
  <c r="AQ55" i="3"/>
  <c r="AI55" i="3"/>
  <c r="AA55" i="3"/>
  <c r="S55" i="3"/>
  <c r="AU61" i="3"/>
  <c r="AM61" i="3"/>
  <c r="AE61" i="3"/>
  <c r="AT61" i="3"/>
  <c r="AL61" i="3"/>
  <c r="AD61" i="3"/>
  <c r="V61" i="3"/>
  <c r="N61" i="3"/>
  <c r="AS61" i="3"/>
  <c r="AK61" i="3"/>
  <c r="AC61" i="3"/>
  <c r="U61" i="3"/>
  <c r="M61" i="3"/>
  <c r="AQ61" i="3"/>
  <c r="AF61" i="3"/>
  <c r="S61" i="3"/>
  <c r="AP61" i="3"/>
  <c r="AB61" i="3"/>
  <c r="R61" i="3"/>
  <c r="AO61" i="3"/>
  <c r="AA61" i="3"/>
  <c r="Q61" i="3"/>
  <c r="AN61" i="3"/>
  <c r="Z61" i="3"/>
  <c r="P61" i="3"/>
  <c r="AJ61" i="3"/>
  <c r="Y61" i="3"/>
  <c r="O61" i="3"/>
  <c r="AI61" i="3"/>
  <c r="X61" i="3"/>
  <c r="AH61" i="3"/>
  <c r="W61" i="3"/>
  <c r="AR61" i="3"/>
  <c r="AG61" i="3"/>
  <c r="T61" i="3"/>
  <c r="AP45" i="3"/>
  <c r="AH45" i="3"/>
  <c r="Z45" i="3"/>
  <c r="R45" i="3"/>
  <c r="AO45" i="3"/>
  <c r="AG45" i="3"/>
  <c r="Y45" i="3"/>
  <c r="Q45" i="3"/>
  <c r="AN45" i="3"/>
  <c r="AF45" i="3"/>
  <c r="X45" i="3"/>
  <c r="P45" i="3"/>
  <c r="AU45" i="3"/>
  <c r="AM45" i="3"/>
  <c r="AE45" i="3"/>
  <c r="W45" i="3"/>
  <c r="O45" i="3"/>
  <c r="AT45" i="3"/>
  <c r="AL45" i="3"/>
  <c r="AD45" i="3"/>
  <c r="V45" i="3"/>
  <c r="N45" i="3"/>
  <c r="AS45" i="3"/>
  <c r="AK45" i="3"/>
  <c r="AC45" i="3"/>
  <c r="U45" i="3"/>
  <c r="T45" i="3"/>
  <c r="S45" i="3"/>
  <c r="AR45" i="3"/>
  <c r="M45" i="3"/>
  <c r="AQ45" i="3"/>
  <c r="AJ45" i="3"/>
  <c r="AI45" i="3"/>
  <c r="AB45" i="3"/>
  <c r="AA45" i="3"/>
  <c r="AU99" i="3"/>
  <c r="AM99" i="3"/>
  <c r="AE99" i="3"/>
  <c r="W99" i="3"/>
  <c r="O99" i="3"/>
  <c r="AT99" i="3"/>
  <c r="AL99" i="3"/>
  <c r="AD99" i="3"/>
  <c r="V99" i="3"/>
  <c r="N99" i="3"/>
  <c r="AS99" i="3"/>
  <c r="AK99" i="3"/>
  <c r="AC99" i="3"/>
  <c r="U99" i="3"/>
  <c r="M99" i="3"/>
  <c r="AQ99" i="3"/>
  <c r="AI99" i="3"/>
  <c r="AA99" i="3"/>
  <c r="S99" i="3"/>
  <c r="AP99" i="3"/>
  <c r="AH99" i="3"/>
  <c r="Z99" i="3"/>
  <c r="R99" i="3"/>
  <c r="AO99" i="3"/>
  <c r="AG99" i="3"/>
  <c r="Y99" i="3"/>
  <c r="Q99" i="3"/>
  <c r="AB99" i="3"/>
  <c r="X99" i="3"/>
  <c r="T99" i="3"/>
  <c r="P99" i="3"/>
  <c r="AR99" i="3"/>
  <c r="AN99" i="3"/>
  <c r="AJ99" i="3"/>
  <c r="AF99" i="3"/>
  <c r="AO68" i="3"/>
  <c r="AG68" i="3"/>
  <c r="Y68" i="3"/>
  <c r="Q68" i="3"/>
  <c r="AN68" i="3"/>
  <c r="AF68" i="3"/>
  <c r="X68" i="3"/>
  <c r="P68" i="3"/>
  <c r="AU68" i="3"/>
  <c r="AM68" i="3"/>
  <c r="AE68" i="3"/>
  <c r="W68" i="3"/>
  <c r="O68" i="3"/>
  <c r="AT68" i="3"/>
  <c r="AL68" i="3"/>
  <c r="AD68" i="3"/>
  <c r="V68" i="3"/>
  <c r="N68" i="3"/>
  <c r="AS68" i="3"/>
  <c r="AK68" i="3"/>
  <c r="AC68" i="3"/>
  <c r="U68" i="3"/>
  <c r="M68" i="3"/>
  <c r="AP68" i="3"/>
  <c r="AH68" i="3"/>
  <c r="Z68" i="3"/>
  <c r="R68" i="3"/>
  <c r="S68" i="3"/>
  <c r="AR68" i="3"/>
  <c r="AQ68" i="3"/>
  <c r="AJ68" i="3"/>
  <c r="AI68" i="3"/>
  <c r="AB68" i="3"/>
  <c r="AA68" i="3"/>
  <c r="T68" i="3"/>
  <c r="AP44" i="3"/>
  <c r="AH44" i="3"/>
  <c r="Z44" i="3"/>
  <c r="AO44" i="3"/>
  <c r="AG44" i="3"/>
  <c r="Y44" i="3"/>
  <c r="AN44" i="3"/>
  <c r="AF44" i="3"/>
  <c r="X44" i="3"/>
  <c r="P44" i="3"/>
  <c r="AU44" i="3"/>
  <c r="AM44" i="3"/>
  <c r="AE44" i="3"/>
  <c r="W44" i="3"/>
  <c r="O44" i="3"/>
  <c r="AS44" i="3"/>
  <c r="AC44" i="3"/>
  <c r="Q44" i="3"/>
  <c r="AR44" i="3"/>
  <c r="AB44" i="3"/>
  <c r="N44" i="3"/>
  <c r="AQ44" i="3"/>
  <c r="AA44" i="3"/>
  <c r="M44" i="3"/>
  <c r="AL44" i="3"/>
  <c r="V44" i="3"/>
  <c r="AK44" i="3"/>
  <c r="U44" i="3"/>
  <c r="AJ44" i="3"/>
  <c r="T44" i="3"/>
  <c r="AI44" i="3"/>
  <c r="S44" i="3"/>
  <c r="AT44" i="3"/>
  <c r="AD44" i="3"/>
  <c r="R44" i="3"/>
  <c r="AP46" i="3"/>
  <c r="AH46" i="3"/>
  <c r="Z46" i="3"/>
  <c r="R46" i="3"/>
  <c r="AO46" i="3"/>
  <c r="AG46" i="3"/>
  <c r="Y46" i="3"/>
  <c r="Q46" i="3"/>
  <c r="AN46" i="3"/>
  <c r="AF46" i="3"/>
  <c r="X46" i="3"/>
  <c r="P46" i="3"/>
  <c r="AU46" i="3"/>
  <c r="AM46" i="3"/>
  <c r="AE46" i="3"/>
  <c r="W46" i="3"/>
  <c r="O46" i="3"/>
  <c r="AT46" i="3"/>
  <c r="AL46" i="3"/>
  <c r="AD46" i="3"/>
  <c r="V46" i="3"/>
  <c r="N46" i="3"/>
  <c r="AS46" i="3"/>
  <c r="AK46" i="3"/>
  <c r="AC46" i="3"/>
  <c r="U46" i="3"/>
  <c r="M46" i="3"/>
  <c r="AR46" i="3"/>
  <c r="AJ46" i="3"/>
  <c r="AB46" i="3"/>
  <c r="T46" i="3"/>
  <c r="AQ46" i="3"/>
  <c r="AI46" i="3"/>
  <c r="AA46" i="3"/>
  <c r="S46" i="3"/>
  <c r="AU16" i="3"/>
  <c r="AM16" i="3"/>
  <c r="AE16" i="3"/>
  <c r="W16" i="3"/>
  <c r="O16" i="3"/>
  <c r="AT16" i="3"/>
  <c r="AL16" i="3"/>
  <c r="AD16" i="3"/>
  <c r="V16" i="3"/>
  <c r="N16" i="3"/>
  <c r="AS16" i="3"/>
  <c r="AK16" i="3"/>
  <c r="AC16" i="3"/>
  <c r="U16" i="3"/>
  <c r="M16" i="3"/>
  <c r="AR16" i="3"/>
  <c r="AJ16" i="3"/>
  <c r="AB16" i="3"/>
  <c r="T16" i="3"/>
  <c r="AQ16" i="3"/>
  <c r="AI16" i="3"/>
  <c r="AA16" i="3"/>
  <c r="S16" i="3"/>
  <c r="AP16" i="3"/>
  <c r="AH16" i="3"/>
  <c r="Z16" i="3"/>
  <c r="R16" i="3"/>
  <c r="AO16" i="3"/>
  <c r="AG16" i="3"/>
  <c r="Y16" i="3"/>
  <c r="Q16" i="3"/>
  <c r="AN16" i="3"/>
  <c r="AF16" i="3"/>
  <c r="X16" i="3"/>
  <c r="P16" i="3"/>
  <c r="AU101" i="3"/>
  <c r="AM101" i="3"/>
  <c r="AE101" i="3"/>
  <c r="W101" i="3"/>
  <c r="O101" i="3"/>
  <c r="AT101" i="3"/>
  <c r="AL101" i="3"/>
  <c r="AD101" i="3"/>
  <c r="V101" i="3"/>
  <c r="N101" i="3"/>
  <c r="AS101" i="3"/>
  <c r="AK101" i="3"/>
  <c r="AC101" i="3"/>
  <c r="U101" i="3"/>
  <c r="M101" i="3"/>
  <c r="AQ101" i="3"/>
  <c r="AI101" i="3"/>
  <c r="AA101" i="3"/>
  <c r="S101" i="3"/>
  <c r="AP101" i="3"/>
  <c r="AH101" i="3"/>
  <c r="Z101" i="3"/>
  <c r="R101" i="3"/>
  <c r="AO101" i="3"/>
  <c r="AG101" i="3"/>
  <c r="Y101" i="3"/>
  <c r="Q101" i="3"/>
  <c r="AJ101" i="3"/>
  <c r="AF101" i="3"/>
  <c r="AB101" i="3"/>
  <c r="X101" i="3"/>
  <c r="T101" i="3"/>
  <c r="P101" i="3"/>
  <c r="AR101" i="3"/>
  <c r="AN101" i="3"/>
  <c r="AO67" i="3"/>
  <c r="AG67" i="3"/>
  <c r="Y67" i="3"/>
  <c r="Q67" i="3"/>
  <c r="AN67" i="3"/>
  <c r="AF67" i="3"/>
  <c r="X67" i="3"/>
  <c r="P67" i="3"/>
  <c r="AU67" i="3"/>
  <c r="AM67" i="3"/>
  <c r="AE67" i="3"/>
  <c r="W67" i="3"/>
  <c r="O67" i="3"/>
  <c r="AT67" i="3"/>
  <c r="AL67" i="3"/>
  <c r="AD67" i="3"/>
  <c r="V67" i="3"/>
  <c r="N67" i="3"/>
  <c r="AS67" i="3"/>
  <c r="AK67" i="3"/>
  <c r="AC67" i="3"/>
  <c r="U67" i="3"/>
  <c r="M67" i="3"/>
  <c r="AP67" i="3"/>
  <c r="AH67" i="3"/>
  <c r="Z67" i="3"/>
  <c r="R67" i="3"/>
  <c r="AI67" i="3"/>
  <c r="AB67" i="3"/>
  <c r="AA67" i="3"/>
  <c r="T67" i="3"/>
  <c r="S67" i="3"/>
  <c r="AR67" i="3"/>
  <c r="AQ67" i="3"/>
  <c r="AJ67" i="3"/>
  <c r="AU103" i="3"/>
  <c r="AM103" i="3"/>
  <c r="AE103" i="3"/>
  <c r="W103" i="3"/>
  <c r="O103" i="3"/>
  <c r="AT103" i="3"/>
  <c r="AL103" i="3"/>
  <c r="AD103" i="3"/>
  <c r="V103" i="3"/>
  <c r="N103" i="3"/>
  <c r="AS103" i="3"/>
  <c r="AK103" i="3"/>
  <c r="AC103" i="3"/>
  <c r="U103" i="3"/>
  <c r="M103" i="3"/>
  <c r="AQ103" i="3"/>
  <c r="AI103" i="3"/>
  <c r="AA103" i="3"/>
  <c r="S103" i="3"/>
  <c r="AP103" i="3"/>
  <c r="AH103" i="3"/>
  <c r="Z103" i="3"/>
  <c r="R103" i="3"/>
  <c r="AO103" i="3"/>
  <c r="AG103" i="3"/>
  <c r="Y103" i="3"/>
  <c r="Q103" i="3"/>
  <c r="AR103" i="3"/>
  <c r="AN103" i="3"/>
  <c r="AJ103" i="3"/>
  <c r="AF103" i="3"/>
  <c r="AB103" i="3"/>
  <c r="X103" i="3"/>
  <c r="T103" i="3"/>
  <c r="P103" i="3"/>
  <c r="AP32" i="3"/>
  <c r="AH32" i="3"/>
  <c r="Z32" i="3"/>
  <c r="R32" i="3"/>
  <c r="AU32" i="3"/>
  <c r="AM32" i="3"/>
  <c r="AE32" i="3"/>
  <c r="W32" i="3"/>
  <c r="O32" i="3"/>
  <c r="AT32" i="3"/>
  <c r="AL32" i="3"/>
  <c r="AD32" i="3"/>
  <c r="V32" i="3"/>
  <c r="N32" i="3"/>
  <c r="AS32" i="3"/>
  <c r="AK32" i="3"/>
  <c r="AC32" i="3"/>
  <c r="U32" i="3"/>
  <c r="M32" i="3"/>
  <c r="AR32" i="3"/>
  <c r="AJ32" i="3"/>
  <c r="AB32" i="3"/>
  <c r="T32" i="3"/>
  <c r="AQ32" i="3"/>
  <c r="AI32" i="3"/>
  <c r="AA32" i="3"/>
  <c r="S32" i="3"/>
  <c r="Q32" i="3"/>
  <c r="P32" i="3"/>
  <c r="AO32" i="3"/>
  <c r="AN32" i="3"/>
  <c r="AG32" i="3"/>
  <c r="AF32" i="3"/>
  <c r="Y32" i="3"/>
  <c r="X32" i="3"/>
  <c r="AP47" i="3"/>
  <c r="AH47" i="3"/>
  <c r="Z47" i="3"/>
  <c r="R47" i="3"/>
  <c r="AO47" i="3"/>
  <c r="AG47" i="3"/>
  <c r="Y47" i="3"/>
  <c r="Q47" i="3"/>
  <c r="AN47" i="3"/>
  <c r="AF47" i="3"/>
  <c r="X47" i="3"/>
  <c r="P47" i="3"/>
  <c r="AU47" i="3"/>
  <c r="AM47" i="3"/>
  <c r="AE47" i="3"/>
  <c r="W47" i="3"/>
  <c r="O47" i="3"/>
  <c r="AT47" i="3"/>
  <c r="AL47" i="3"/>
  <c r="AD47" i="3"/>
  <c r="V47" i="3"/>
  <c r="N47" i="3"/>
  <c r="AS47" i="3"/>
  <c r="AK47" i="3"/>
  <c r="AC47" i="3"/>
  <c r="U47" i="3"/>
  <c r="M47" i="3"/>
  <c r="AR47" i="3"/>
  <c r="AJ47" i="3"/>
  <c r="AB47" i="3"/>
  <c r="T47" i="3"/>
  <c r="AQ47" i="3"/>
  <c r="AI47" i="3"/>
  <c r="AA47" i="3"/>
  <c r="S47" i="3"/>
  <c r="AU22" i="3"/>
  <c r="AM22" i="3"/>
  <c r="AE22" i="3"/>
  <c r="W22" i="3"/>
  <c r="O22" i="3"/>
  <c r="AT22" i="3"/>
  <c r="AL22" i="3"/>
  <c r="AD22" i="3"/>
  <c r="V22" i="3"/>
  <c r="N22" i="3"/>
  <c r="AS22" i="3"/>
  <c r="AK22" i="3"/>
  <c r="AC22" i="3"/>
  <c r="U22" i="3"/>
  <c r="M22" i="3"/>
  <c r="AR22" i="3"/>
  <c r="AJ22" i="3"/>
  <c r="AB22" i="3"/>
  <c r="T22" i="3"/>
  <c r="AQ22" i="3"/>
  <c r="AI22" i="3"/>
  <c r="AA22" i="3"/>
  <c r="S22" i="3"/>
  <c r="AP22" i="3"/>
  <c r="AH22" i="3"/>
  <c r="Z22" i="3"/>
  <c r="R22" i="3"/>
  <c r="AO22" i="3"/>
  <c r="AG22" i="3"/>
  <c r="Y22" i="3"/>
  <c r="Q22" i="3"/>
  <c r="AN22" i="3"/>
  <c r="AF22" i="3"/>
  <c r="X22" i="3"/>
  <c r="P22" i="3"/>
  <c r="AU15" i="3"/>
  <c r="AM15" i="3"/>
  <c r="AE15" i="3"/>
  <c r="W15" i="3"/>
  <c r="O15" i="3"/>
  <c r="AT15" i="3"/>
  <c r="AL15" i="3"/>
  <c r="AD15" i="3"/>
  <c r="V15" i="3"/>
  <c r="N15" i="3"/>
  <c r="AS15" i="3"/>
  <c r="AK15" i="3"/>
  <c r="AC15" i="3"/>
  <c r="U15" i="3"/>
  <c r="M15" i="3"/>
  <c r="AR15" i="3"/>
  <c r="AJ15" i="3"/>
  <c r="AB15" i="3"/>
  <c r="T15" i="3"/>
  <c r="AQ15" i="3"/>
  <c r="AI15" i="3"/>
  <c r="AA15" i="3"/>
  <c r="S15" i="3"/>
  <c r="AP15" i="3"/>
  <c r="AH15" i="3"/>
  <c r="Z15" i="3"/>
  <c r="R15" i="3"/>
  <c r="AO15" i="3"/>
  <c r="AG15" i="3"/>
  <c r="Y15" i="3"/>
  <c r="Q15" i="3"/>
  <c r="AN15" i="3"/>
  <c r="AF15" i="3"/>
  <c r="X15" i="3"/>
  <c r="P15" i="3"/>
  <c r="AU100" i="3"/>
  <c r="AM100" i="3"/>
  <c r="AE100" i="3"/>
  <c r="W100" i="3"/>
  <c r="O100" i="3"/>
  <c r="AT100" i="3"/>
  <c r="AL100" i="3"/>
  <c r="AD100" i="3"/>
  <c r="V100" i="3"/>
  <c r="N100" i="3"/>
  <c r="AS100" i="3"/>
  <c r="AK100" i="3"/>
  <c r="AC100" i="3"/>
  <c r="U100" i="3"/>
  <c r="M100" i="3"/>
  <c r="AQ100" i="3"/>
  <c r="AI100" i="3"/>
  <c r="AA100" i="3"/>
  <c r="S100" i="3"/>
  <c r="AP100" i="3"/>
  <c r="AH100" i="3"/>
  <c r="Z100" i="3"/>
  <c r="R100" i="3"/>
  <c r="AO100" i="3"/>
  <c r="AG100" i="3"/>
  <c r="Y100" i="3"/>
  <c r="Q100" i="3"/>
  <c r="P100" i="3"/>
  <c r="AR100" i="3"/>
  <c r="AN100" i="3"/>
  <c r="AJ100" i="3"/>
  <c r="AF100" i="3"/>
  <c r="AB100" i="3"/>
  <c r="X100" i="3"/>
  <c r="T100" i="3"/>
  <c r="AU19" i="3"/>
  <c r="AM19" i="3"/>
  <c r="AE19" i="3"/>
  <c r="W19" i="3"/>
  <c r="O19" i="3"/>
  <c r="AT19" i="3"/>
  <c r="AL19" i="3"/>
  <c r="AD19" i="3"/>
  <c r="V19" i="3"/>
  <c r="N19" i="3"/>
  <c r="AS19" i="3"/>
  <c r="AK19" i="3"/>
  <c r="AC19" i="3"/>
  <c r="U19" i="3"/>
  <c r="M19" i="3"/>
  <c r="AR19" i="3"/>
  <c r="AJ19" i="3"/>
  <c r="AB19" i="3"/>
  <c r="T19" i="3"/>
  <c r="AQ19" i="3"/>
  <c r="AI19" i="3"/>
  <c r="AA19" i="3"/>
  <c r="S19" i="3"/>
  <c r="AP19" i="3"/>
  <c r="AH19" i="3"/>
  <c r="Z19" i="3"/>
  <c r="R19" i="3"/>
  <c r="AO19" i="3"/>
  <c r="AG19" i="3"/>
  <c r="Y19" i="3"/>
  <c r="Q19" i="3"/>
  <c r="AN19" i="3"/>
  <c r="AF19" i="3"/>
  <c r="X19" i="3"/>
  <c r="P19" i="3"/>
  <c r="AU12" i="3"/>
  <c r="AM12" i="3"/>
  <c r="AE12" i="3"/>
  <c r="W12" i="3"/>
  <c r="O12" i="3"/>
  <c r="AT12" i="3"/>
  <c r="AL12" i="3"/>
  <c r="AD12" i="3"/>
  <c r="V12" i="3"/>
  <c r="N12" i="3"/>
  <c r="AS12" i="3"/>
  <c r="AK12" i="3"/>
  <c r="AC12" i="3"/>
  <c r="U12" i="3"/>
  <c r="M12" i="3"/>
  <c r="AR12" i="3"/>
  <c r="AJ12" i="3"/>
  <c r="AB12" i="3"/>
  <c r="T12" i="3"/>
  <c r="AQ12" i="3"/>
  <c r="AI12" i="3"/>
  <c r="AA12" i="3"/>
  <c r="S12" i="3"/>
  <c r="AP12" i="3"/>
  <c r="AH12" i="3"/>
  <c r="Z12" i="3"/>
  <c r="R12" i="3"/>
  <c r="AO12" i="3"/>
  <c r="AG12" i="3"/>
  <c r="Y12" i="3"/>
  <c r="Q12" i="3"/>
  <c r="AN12" i="3"/>
  <c r="AF12" i="3"/>
  <c r="X12" i="3"/>
  <c r="P12" i="3"/>
  <c r="AU89" i="3"/>
  <c r="AM89" i="3"/>
  <c r="AE89" i="3"/>
  <c r="W89" i="3"/>
  <c r="O89" i="3"/>
  <c r="AT89" i="3"/>
  <c r="AL89" i="3"/>
  <c r="AD89" i="3"/>
  <c r="V89" i="3"/>
  <c r="N89" i="3"/>
  <c r="AS89" i="3"/>
  <c r="AK89" i="3"/>
  <c r="AC89" i="3"/>
  <c r="U89" i="3"/>
  <c r="M89" i="3"/>
  <c r="AP89" i="3"/>
  <c r="AB89" i="3"/>
  <c r="Q89" i="3"/>
  <c r="AO89" i="3"/>
  <c r="AA89" i="3"/>
  <c r="P89" i="3"/>
  <c r="AN89" i="3"/>
  <c r="Z89" i="3"/>
  <c r="AJ89" i="3"/>
  <c r="Y89" i="3"/>
  <c r="AI89" i="3"/>
  <c r="X89" i="3"/>
  <c r="AH89" i="3"/>
  <c r="T89" i="3"/>
  <c r="AQ89" i="3"/>
  <c r="AF89" i="3"/>
  <c r="R89" i="3"/>
  <c r="AR89" i="3"/>
  <c r="AG89" i="3"/>
  <c r="S89" i="3"/>
  <c r="AU62" i="3"/>
  <c r="AM62" i="3"/>
  <c r="AE62" i="3"/>
  <c r="W62" i="3"/>
  <c r="O62" i="3"/>
  <c r="AT62" i="3"/>
  <c r="AL62" i="3"/>
  <c r="AD62" i="3"/>
  <c r="V62" i="3"/>
  <c r="N62" i="3"/>
  <c r="AS62" i="3"/>
  <c r="AK62" i="3"/>
  <c r="AC62" i="3"/>
  <c r="U62" i="3"/>
  <c r="M62" i="3"/>
  <c r="AP62" i="3"/>
  <c r="AB62" i="3"/>
  <c r="Q62" i="3"/>
  <c r="AO62" i="3"/>
  <c r="AA62" i="3"/>
  <c r="P62" i="3"/>
  <c r="AN62" i="3"/>
  <c r="Z62" i="3"/>
  <c r="AJ62" i="3"/>
  <c r="Y62" i="3"/>
  <c r="AI62" i="3"/>
  <c r="X62" i="3"/>
  <c r="AH62" i="3"/>
  <c r="T62" i="3"/>
  <c r="AR62" i="3"/>
  <c r="AG62" i="3"/>
  <c r="S62" i="3"/>
  <c r="AQ62" i="3"/>
  <c r="AF62" i="3"/>
  <c r="R62" i="3"/>
  <c r="AU10" i="3"/>
  <c r="AM10" i="3"/>
  <c r="AE10" i="3"/>
  <c r="W10" i="3"/>
  <c r="O10" i="3"/>
  <c r="AT10" i="3"/>
  <c r="AL10" i="3"/>
  <c r="AD10" i="3"/>
  <c r="V10" i="3"/>
  <c r="N10" i="3"/>
  <c r="AS10" i="3"/>
  <c r="AK10" i="3"/>
  <c r="AC10" i="3"/>
  <c r="U10" i="3"/>
  <c r="M10" i="3"/>
  <c r="AR10" i="3"/>
  <c r="AJ10" i="3"/>
  <c r="AB10" i="3"/>
  <c r="T10" i="3"/>
  <c r="AQ10" i="3"/>
  <c r="AI10" i="3"/>
  <c r="AA10" i="3"/>
  <c r="S10" i="3"/>
  <c r="AP10" i="3"/>
  <c r="AH10" i="3"/>
  <c r="Z10" i="3"/>
  <c r="R10" i="3"/>
  <c r="AO10" i="3"/>
  <c r="AG10" i="3"/>
  <c r="Y10" i="3"/>
  <c r="Q10" i="3"/>
  <c r="AN10" i="3"/>
  <c r="AF10" i="3"/>
  <c r="X10" i="3"/>
  <c r="P10" i="3"/>
  <c r="AU64" i="3"/>
  <c r="AM64" i="3"/>
  <c r="AE64" i="3"/>
  <c r="W64" i="3"/>
  <c r="O64" i="3"/>
  <c r="AT64" i="3"/>
  <c r="AL64" i="3"/>
  <c r="AD64" i="3"/>
  <c r="V64" i="3"/>
  <c r="N64" i="3"/>
  <c r="AS64" i="3"/>
  <c r="AK64" i="3"/>
  <c r="AC64" i="3"/>
  <c r="U64" i="3"/>
  <c r="M64" i="3"/>
  <c r="AN64" i="3"/>
  <c r="Z64" i="3"/>
  <c r="AJ64" i="3"/>
  <c r="Y64" i="3"/>
  <c r="AI64" i="3"/>
  <c r="X64" i="3"/>
  <c r="AH64" i="3"/>
  <c r="T64" i="3"/>
  <c r="AR64" i="3"/>
  <c r="AG64" i="3"/>
  <c r="S64" i="3"/>
  <c r="AQ64" i="3"/>
  <c r="AF64" i="3"/>
  <c r="R64" i="3"/>
  <c r="AP64" i="3"/>
  <c r="AB64" i="3"/>
  <c r="Q64" i="3"/>
  <c r="AO64" i="3"/>
  <c r="AA64" i="3"/>
  <c r="P64" i="3"/>
  <c r="AP36" i="3"/>
  <c r="AH36" i="3"/>
  <c r="Z36" i="3"/>
  <c r="R36" i="3"/>
  <c r="AO36" i="3"/>
  <c r="AG36" i="3"/>
  <c r="Y36" i="3"/>
  <c r="Q36" i="3"/>
  <c r="AN36" i="3"/>
  <c r="AF36" i="3"/>
  <c r="X36" i="3"/>
  <c r="P36" i="3"/>
  <c r="AU36" i="3"/>
  <c r="AM36" i="3"/>
  <c r="AE36" i="3"/>
  <c r="W36" i="3"/>
  <c r="O36" i="3"/>
  <c r="AT36" i="3"/>
  <c r="AL36" i="3"/>
  <c r="AD36" i="3"/>
  <c r="V36" i="3"/>
  <c r="N36" i="3"/>
  <c r="AS36" i="3"/>
  <c r="AK36" i="3"/>
  <c r="AC36" i="3"/>
  <c r="U36" i="3"/>
  <c r="M36" i="3"/>
  <c r="AR36" i="3"/>
  <c r="AJ36" i="3"/>
  <c r="AB36" i="3"/>
  <c r="T36" i="3"/>
  <c r="AQ36" i="3"/>
  <c r="AI36" i="3"/>
  <c r="AA36" i="3"/>
  <c r="S36" i="3"/>
  <c r="AU11" i="3"/>
  <c r="AM11" i="3"/>
  <c r="AE11" i="3"/>
  <c r="W11" i="3"/>
  <c r="O11" i="3"/>
  <c r="AT11" i="3"/>
  <c r="AL11" i="3"/>
  <c r="AD11" i="3"/>
  <c r="V11" i="3"/>
  <c r="N11" i="3"/>
  <c r="AS11" i="3"/>
  <c r="AK11" i="3"/>
  <c r="AC11" i="3"/>
  <c r="U11" i="3"/>
  <c r="M11" i="3"/>
  <c r="AR11" i="3"/>
  <c r="AJ11" i="3"/>
  <c r="AB11" i="3"/>
  <c r="T11" i="3"/>
  <c r="AQ11" i="3"/>
  <c r="AI11" i="3"/>
  <c r="AA11" i="3"/>
  <c r="S11" i="3"/>
  <c r="AP11" i="3"/>
  <c r="AH11" i="3"/>
  <c r="Z11" i="3"/>
  <c r="R11" i="3"/>
  <c r="AO11" i="3"/>
  <c r="AG11" i="3"/>
  <c r="Y11" i="3"/>
  <c r="Q11" i="3"/>
  <c r="AN11" i="3"/>
  <c r="AF11" i="3"/>
  <c r="X11" i="3"/>
  <c r="P11" i="3"/>
  <c r="AP38" i="3"/>
  <c r="AH38" i="3"/>
  <c r="Z38" i="3"/>
  <c r="R38" i="3"/>
  <c r="AO38" i="3"/>
  <c r="AG38" i="3"/>
  <c r="Y38" i="3"/>
  <c r="Q38" i="3"/>
  <c r="AN38" i="3"/>
  <c r="AF38" i="3"/>
  <c r="X38" i="3"/>
  <c r="P38" i="3"/>
  <c r="AU38" i="3"/>
  <c r="AM38" i="3"/>
  <c r="AE38" i="3"/>
  <c r="W38" i="3"/>
  <c r="O38" i="3"/>
  <c r="AT38" i="3"/>
  <c r="AL38" i="3"/>
  <c r="AD38" i="3"/>
  <c r="V38" i="3"/>
  <c r="N38" i="3"/>
  <c r="AS38" i="3"/>
  <c r="AK38" i="3"/>
  <c r="AC38" i="3"/>
  <c r="U38" i="3"/>
  <c r="M38" i="3"/>
  <c r="AR38" i="3"/>
  <c r="AJ38" i="3"/>
  <c r="AB38" i="3"/>
  <c r="T38" i="3"/>
  <c r="AQ38" i="3"/>
  <c r="AI38" i="3"/>
  <c r="AA38" i="3"/>
  <c r="S38" i="3"/>
  <c r="AP51" i="3"/>
  <c r="AH51" i="3"/>
  <c r="Z51" i="3"/>
  <c r="R51" i="3"/>
  <c r="AO51" i="3"/>
  <c r="AG51" i="3"/>
  <c r="Y51" i="3"/>
  <c r="Q51" i="3"/>
  <c r="AN51" i="3"/>
  <c r="AF51" i="3"/>
  <c r="X51" i="3"/>
  <c r="P51" i="3"/>
  <c r="AU51" i="3"/>
  <c r="AM51" i="3"/>
  <c r="AE51" i="3"/>
  <c r="W51" i="3"/>
  <c r="O51" i="3"/>
  <c r="AT51" i="3"/>
  <c r="AL51" i="3"/>
  <c r="AD51" i="3"/>
  <c r="V51" i="3"/>
  <c r="N51" i="3"/>
  <c r="AS51" i="3"/>
  <c r="AK51" i="3"/>
  <c r="AC51" i="3"/>
  <c r="U51" i="3"/>
  <c r="M51" i="3"/>
  <c r="AR51" i="3"/>
  <c r="AJ51" i="3"/>
  <c r="AB51" i="3"/>
  <c r="T51" i="3"/>
  <c r="AQ51" i="3"/>
  <c r="AI51" i="3"/>
  <c r="AA51" i="3"/>
  <c r="S51" i="3"/>
  <c r="AR79" i="3"/>
  <c r="AJ79" i="3"/>
  <c r="AB79" i="3"/>
  <c r="T79" i="3"/>
  <c r="AQ79" i="3"/>
  <c r="AI79" i="3"/>
  <c r="AA79" i="3"/>
  <c r="S79" i="3"/>
  <c r="AP79" i="3"/>
  <c r="AH79" i="3"/>
  <c r="Z79" i="3"/>
  <c r="R79" i="3"/>
  <c r="AO79" i="3"/>
  <c r="AG79" i="3"/>
  <c r="Y79" i="3"/>
  <c r="Q79" i="3"/>
  <c r="AN79" i="3"/>
  <c r="AF79" i="3"/>
  <c r="X79" i="3"/>
  <c r="P79" i="3"/>
  <c r="AD79" i="3"/>
  <c r="AU79" i="3"/>
  <c r="AC79" i="3"/>
  <c r="AT79" i="3"/>
  <c r="W79" i="3"/>
  <c r="AS79" i="3"/>
  <c r="V79" i="3"/>
  <c r="AM79" i="3"/>
  <c r="U79" i="3"/>
  <c r="AL79" i="3"/>
  <c r="O79" i="3"/>
  <c r="AK79" i="3"/>
  <c r="N79" i="3"/>
  <c r="AE79" i="3"/>
  <c r="M79" i="3"/>
  <c r="AU94" i="3"/>
  <c r="AM94" i="3"/>
  <c r="AE94" i="3"/>
  <c r="W94" i="3"/>
  <c r="O94" i="3"/>
  <c r="AT94" i="3"/>
  <c r="AL94" i="3"/>
  <c r="AD94" i="3"/>
  <c r="V94" i="3"/>
  <c r="N94" i="3"/>
  <c r="AS94" i="3"/>
  <c r="AK94" i="3"/>
  <c r="AC94" i="3"/>
  <c r="U94" i="3"/>
  <c r="M94" i="3"/>
  <c r="AQ94" i="3"/>
  <c r="AI94" i="3"/>
  <c r="AA94" i="3"/>
  <c r="S94" i="3"/>
  <c r="AP94" i="3"/>
  <c r="AH94" i="3"/>
  <c r="Z94" i="3"/>
  <c r="R94" i="3"/>
  <c r="AO94" i="3"/>
  <c r="AG94" i="3"/>
  <c r="Y94" i="3"/>
  <c r="Q94" i="3"/>
  <c r="AR94" i="3"/>
  <c r="AN94" i="3"/>
  <c r="AJ94" i="3"/>
  <c r="AF94" i="3"/>
  <c r="AB94" i="3"/>
  <c r="X94" i="3"/>
  <c r="T94" i="3"/>
  <c r="P94" i="3"/>
  <c r="AP40" i="3"/>
  <c r="AH40" i="3"/>
  <c r="Z40" i="3"/>
  <c r="R40" i="3"/>
  <c r="AO40" i="3"/>
  <c r="AG40" i="3"/>
  <c r="Y40" i="3"/>
  <c r="Q40" i="3"/>
  <c r="AN40" i="3"/>
  <c r="AF40" i="3"/>
  <c r="X40" i="3"/>
  <c r="P40" i="3"/>
  <c r="AU40" i="3"/>
  <c r="AM40" i="3"/>
  <c r="AE40" i="3"/>
  <c r="W40" i="3"/>
  <c r="O40" i="3"/>
  <c r="AT40" i="3"/>
  <c r="AL40" i="3"/>
  <c r="AD40" i="3"/>
  <c r="V40" i="3"/>
  <c r="N40" i="3"/>
  <c r="AS40" i="3"/>
  <c r="AK40" i="3"/>
  <c r="AC40" i="3"/>
  <c r="U40" i="3"/>
  <c r="M40" i="3"/>
  <c r="AR40" i="3"/>
  <c r="AJ40" i="3"/>
  <c r="AB40" i="3"/>
  <c r="T40" i="3"/>
  <c r="AQ40" i="3"/>
  <c r="AI40" i="3"/>
  <c r="AA40" i="3"/>
  <c r="S40" i="3"/>
  <c r="AP35" i="3"/>
  <c r="AH35" i="3"/>
  <c r="Z35" i="3"/>
  <c r="R35" i="3"/>
  <c r="AO35" i="3"/>
  <c r="AN35" i="3"/>
  <c r="AU35" i="3"/>
  <c r="AM35" i="3"/>
  <c r="AE35" i="3"/>
  <c r="W35" i="3"/>
  <c r="O35" i="3"/>
  <c r="AT35" i="3"/>
  <c r="AL35" i="3"/>
  <c r="AD35" i="3"/>
  <c r="V35" i="3"/>
  <c r="N35" i="3"/>
  <c r="AS35" i="3"/>
  <c r="AK35" i="3"/>
  <c r="AC35" i="3"/>
  <c r="U35" i="3"/>
  <c r="M35" i="3"/>
  <c r="AR35" i="3"/>
  <c r="AJ35" i="3"/>
  <c r="AB35" i="3"/>
  <c r="T35" i="3"/>
  <c r="AQ35" i="3"/>
  <c r="AI35" i="3"/>
  <c r="AA35" i="3"/>
  <c r="S35" i="3"/>
  <c r="AG35" i="3"/>
  <c r="AF35" i="3"/>
  <c r="Y35" i="3"/>
  <c r="X35" i="3"/>
  <c r="Q35" i="3"/>
  <c r="P35" i="3"/>
  <c r="AU63" i="3"/>
  <c r="AM63" i="3"/>
  <c r="AE63" i="3"/>
  <c r="W63" i="3"/>
  <c r="O63" i="3"/>
  <c r="AT63" i="3"/>
  <c r="AL63" i="3"/>
  <c r="AD63" i="3"/>
  <c r="V63" i="3"/>
  <c r="N63" i="3"/>
  <c r="AS63" i="3"/>
  <c r="AK63" i="3"/>
  <c r="AC63" i="3"/>
  <c r="U63" i="3"/>
  <c r="M63" i="3"/>
  <c r="AO63" i="3"/>
  <c r="AA63" i="3"/>
  <c r="P63" i="3"/>
  <c r="AN63" i="3"/>
  <c r="Z63" i="3"/>
  <c r="AJ63" i="3"/>
  <c r="Y63" i="3"/>
  <c r="AI63" i="3"/>
  <c r="X63" i="3"/>
  <c r="AH63" i="3"/>
  <c r="T63" i="3"/>
  <c r="AR63" i="3"/>
  <c r="AG63" i="3"/>
  <c r="S63" i="3"/>
  <c r="AQ63" i="3"/>
  <c r="AF63" i="3"/>
  <c r="R63" i="3"/>
  <c r="AP63" i="3"/>
  <c r="AB63" i="3"/>
  <c r="Q63" i="3"/>
  <c r="AP57" i="3"/>
  <c r="AH57" i="3"/>
  <c r="Z57" i="3"/>
  <c r="R57" i="3"/>
  <c r="AO57" i="3"/>
  <c r="AG57" i="3"/>
  <c r="Y57" i="3"/>
  <c r="Q57" i="3"/>
  <c r="AN57" i="3"/>
  <c r="AF57" i="3"/>
  <c r="X57" i="3"/>
  <c r="P57" i="3"/>
  <c r="AU57" i="3"/>
  <c r="AM57" i="3"/>
  <c r="AE57" i="3"/>
  <c r="W57" i="3"/>
  <c r="O57" i="3"/>
  <c r="AT57" i="3"/>
  <c r="AL57" i="3"/>
  <c r="AD57" i="3"/>
  <c r="V57" i="3"/>
  <c r="N57" i="3"/>
  <c r="AS57" i="3"/>
  <c r="AK57" i="3"/>
  <c r="AC57" i="3"/>
  <c r="U57" i="3"/>
  <c r="M57" i="3"/>
  <c r="AR57" i="3"/>
  <c r="AJ57" i="3"/>
  <c r="AB57" i="3"/>
  <c r="T57" i="3"/>
  <c r="AQ57" i="3"/>
  <c r="AI57" i="3"/>
  <c r="AA57" i="3"/>
  <c r="S57" i="3"/>
  <c r="AO70" i="3"/>
  <c r="AG70" i="3"/>
  <c r="Y70" i="3"/>
  <c r="Q70" i="3"/>
  <c r="AN70" i="3"/>
  <c r="AF70" i="3"/>
  <c r="X70" i="3"/>
  <c r="P70" i="3"/>
  <c r="AU70" i="3"/>
  <c r="AM70" i="3"/>
  <c r="AE70" i="3"/>
  <c r="W70" i="3"/>
  <c r="O70" i="3"/>
  <c r="AT70" i="3"/>
  <c r="AL70" i="3"/>
  <c r="AD70" i="3"/>
  <c r="V70" i="3"/>
  <c r="N70" i="3"/>
  <c r="AS70" i="3"/>
  <c r="AK70" i="3"/>
  <c r="AC70" i="3"/>
  <c r="U70" i="3"/>
  <c r="M70" i="3"/>
  <c r="AR70" i="3"/>
  <c r="AJ70" i="3"/>
  <c r="AB70" i="3"/>
  <c r="T70" i="3"/>
  <c r="AQ70" i="3"/>
  <c r="AI70" i="3"/>
  <c r="AA70" i="3"/>
  <c r="S70" i="3"/>
  <c r="AP70" i="3"/>
  <c r="AH70" i="3"/>
  <c r="Z70" i="3"/>
  <c r="R70" i="3"/>
</calcChain>
</file>

<file path=xl/sharedStrings.xml><?xml version="1.0" encoding="utf-8"?>
<sst xmlns="http://schemas.openxmlformats.org/spreadsheetml/2006/main" count="1180" uniqueCount="204">
  <si>
    <t>EPC 발전소 BOP 배관공사 공정표 — 시나리오 분석 (DI 기준)</t>
  </si>
  <si>
    <t>CCGT Power Plant  ·  BOP Piping Schedule  ·  시나리오: Civil 선행공정 지연 → 배관공사 Impact 분석</t>
  </si>
  <si>
    <t xml:space="preserve">  ❶  시나리오 입력 (Scenario Inputs)</t>
  </si>
  <si>
    <t xml:space="preserve">  ❸  시나리오 영향 요약 (Impact Summary)</t>
  </si>
  <si>
    <t>항목 (Item)</t>
  </si>
  <si>
    <t>지연 (주)
Delay (wk)</t>
  </si>
  <si>
    <t>최대 입력
Max (wk)</t>
  </si>
  <si>
    <t>설명</t>
  </si>
  <si>
    <t>계통 (System)</t>
  </si>
  <si>
    <t>계통명</t>
  </si>
  <si>
    <t>최대 지연 (주)
Max Delay</t>
  </si>
  <si>
    <t>프로젝트 DI 기준일 (W0 Date)</t>
  </si>
  <si>
    <t>2026-03-01</t>
  </si>
  <si>
    <t>← 실제 DI 날짜 입력 (Power BI 연동)</t>
  </si>
  <si>
    <t>CWS</t>
  </si>
  <si>
    <t>냉각수 계통</t>
  </si>
  <si>
    <t>Pipe Rack Structure 지연</t>
  </si>
  <si>
    <t>0~12</t>
  </si>
  <si>
    <t>Rack 철골공사 지연 시 주요 배관 계통 영향</t>
  </si>
  <si>
    <t>CD</t>
  </si>
  <si>
    <t>복수 계통</t>
  </si>
  <si>
    <t>Building / Concrete 지연</t>
  </si>
  <si>
    <t>실내배관, 설비 기초 공사 지연 영향</t>
  </si>
  <si>
    <t>FW</t>
  </si>
  <si>
    <t>급수 계통</t>
  </si>
  <si>
    <t>Sleeper / Embed 지연</t>
  </si>
  <si>
    <t>0~8</t>
  </si>
  <si>
    <t>Support 매립물 지연 → Support 설치 지연</t>
  </si>
  <si>
    <t>AUX</t>
  </si>
  <si>
    <t>보조증기 계통</t>
  </si>
  <si>
    <t>NG</t>
  </si>
  <si>
    <t>천연가스 계통</t>
  </si>
  <si>
    <t xml:space="preserve">  ❷  사용 방법 (Usage Guide)</t>
  </si>
  <si>
    <t>FO</t>
  </si>
  <si>
    <t>연료유 계통</t>
  </si>
  <si>
    <t>① C8~C10 셀에 각 Civil 공종별 지연 주수 입력 (0 = 지연 없음)</t>
  </si>
  <si>
    <t>CAS</t>
  </si>
  <si>
    <t>압축공기 계통</t>
  </si>
  <si>
    <t>② DATA 시트에서 Scen_Start / Scen_End 컬럼이 자동 재계산됨</t>
  </si>
  <si>
    <t>CHM</t>
  </si>
  <si>
    <t>약품주입 계통</t>
  </si>
  <si>
    <t>③ GANTT 시트에서 회색 바(Baseline) vs 컬러 바(Scenario) 비교</t>
  </si>
  <si>
    <t>FPS</t>
  </si>
  <si>
    <t>소화 계통</t>
  </si>
  <si>
    <t>④ Power BI에서 DATA 시트 'tbl_BOP_Schedule' 테이블 연결</t>
  </si>
  <si>
    <t>SWS</t>
  </si>
  <si>
    <t>서비스/음용수</t>
  </si>
  <si>
    <t>⑤ Power BI Gantt Custom Visual로 시나리오별 일정 인터랙티브 분석</t>
  </si>
  <si>
    <t>D/V</t>
  </si>
  <si>
    <t>드레인/벤트</t>
  </si>
  <si>
    <t>범 례 (Legend)</t>
  </si>
  <si>
    <t>MR / 발주</t>
  </si>
  <si>
    <t>자재 입고</t>
  </si>
  <si>
    <t>Spool 제작</t>
  </si>
  <si>
    <t>현장 배관 설치</t>
  </si>
  <si>
    <t>Support 설치</t>
  </si>
  <si>
    <t>압력 / 기밀시험</t>
  </si>
  <si>
    <t>Pre-Commissioning</t>
  </si>
  <si>
    <t>Pipe Rack</t>
  </si>
  <si>
    <t>Building / Concrete</t>
  </si>
  <si>
    <t>Sleeper / Embed</t>
  </si>
  <si>
    <t>Baseline (Ghost)</t>
  </si>
  <si>
    <t xml:space="preserve">  📊  Power BI 연동:  Excel → Data → Get Data → Excel Workbook → DATA 시트 → 'tbl_BOP_Schedule' 테이블 선택</t>
  </si>
  <si>
    <t xml:space="preserve">  💡  권장 Power BI Visual:  Gantt Chart (Profitbase) · Bar Chart (시스템별 지연 주수) · Slicer (Phase / System / Civil_Dep)</t>
  </si>
  <si>
    <t>Row_ID</t>
  </si>
  <si>
    <t>Section</t>
  </si>
  <si>
    <t>Sys_No</t>
  </si>
  <si>
    <t>Sys_Code</t>
  </si>
  <si>
    <t>Sys_Name_KR</t>
  </si>
  <si>
    <t>Sys_Name_EN</t>
  </si>
  <si>
    <t>Activity</t>
  </si>
  <si>
    <t>Type_Name</t>
  </si>
  <si>
    <t>Act_Phase</t>
  </si>
  <si>
    <t>Civil_Dep</t>
  </si>
  <si>
    <t>Base_Start</t>
  </si>
  <si>
    <t>Base_End</t>
  </si>
  <si>
    <t>Duration</t>
  </si>
  <si>
    <t>Delay_Wk</t>
  </si>
  <si>
    <t>Scen_Start</t>
  </si>
  <si>
    <t>Scen_End</t>
  </si>
  <si>
    <t>Is_Delayed</t>
  </si>
  <si>
    <t>Type_Code</t>
  </si>
  <si>
    <t>Date_Base_Start</t>
  </si>
  <si>
    <t>Date_Scen_Start</t>
  </si>
  <si>
    <t>CIVIL</t>
  </si>
  <si>
    <t>RACK</t>
  </si>
  <si>
    <t>Pipe Rack 기초 공사</t>
  </si>
  <si>
    <t>Foundation</t>
  </si>
  <si>
    <t>PR</t>
  </si>
  <si>
    <t>Pipe Rack 철골 제작</t>
  </si>
  <si>
    <t>Fabrication</t>
  </si>
  <si>
    <t>Pipe Rack 철골 설치</t>
  </si>
  <si>
    <t>Erection</t>
  </si>
  <si>
    <t>Grating / Floor 설치</t>
  </si>
  <si>
    <t>Grating</t>
  </si>
  <si>
    <t>BLDG</t>
  </si>
  <si>
    <t>Building</t>
  </si>
  <si>
    <t>터파기 / 철근 배근</t>
  </si>
  <si>
    <t>콘크리트 타설 (양생)</t>
  </si>
  <si>
    <t>Concrete</t>
  </si>
  <si>
    <t>내부 구조물 / 지붕 공사</t>
  </si>
  <si>
    <t>Structure</t>
  </si>
  <si>
    <t>SLP</t>
  </si>
  <si>
    <t>Sleeper</t>
  </si>
  <si>
    <t>Support Embed (지하/매립)</t>
  </si>
  <si>
    <t>Embed</t>
  </si>
  <si>
    <t>Pipe Sleeper 설치 (지상)</t>
  </si>
  <si>
    <t>Anchor Bolt / Clip 확인</t>
  </si>
  <si>
    <t>AnchorChk</t>
  </si>
  <si>
    <t>PIPING</t>
  </si>
  <si>
    <t>Cooling Water</t>
  </si>
  <si>
    <t>MR 발행 / 자재 발주</t>
  </si>
  <si>
    <t>MR</t>
  </si>
  <si>
    <t>PROC</t>
  </si>
  <si>
    <t>NONE</t>
  </si>
  <si>
    <t>Delivery</t>
  </si>
  <si>
    <t>Fab</t>
  </si>
  <si>
    <t>Install</t>
  </si>
  <si>
    <t>FIELD</t>
  </si>
  <si>
    <t>Support 최종 설치/정렬</t>
  </si>
  <si>
    <t>Support</t>
  </si>
  <si>
    <t>수압시험 (Hydro Test)</t>
  </si>
  <si>
    <t>Test</t>
  </si>
  <si>
    <t>PreComm</t>
  </si>
  <si>
    <t>Condensate</t>
  </si>
  <si>
    <t>수압시험</t>
  </si>
  <si>
    <t>Feed Water</t>
  </si>
  <si>
    <t>자재 입고 (고압배관)</t>
  </si>
  <si>
    <t>Spool 제작 (고압)</t>
  </si>
  <si>
    <t>Aux. Steam</t>
  </si>
  <si>
    <t>자재 입고 (합금강)</t>
  </si>
  <si>
    <t>Natural Gas</t>
  </si>
  <si>
    <t>기밀시험 (Leak Test)</t>
  </si>
  <si>
    <t>Fuel Oil</t>
  </si>
  <si>
    <t>Compressed Air</t>
  </si>
  <si>
    <t>기밀시험</t>
  </si>
  <si>
    <t>Chemical Dosing</t>
  </si>
  <si>
    <t>Fire Protection</t>
  </si>
  <si>
    <t>Service Water</t>
  </si>
  <si>
    <t>Drain &amp; Vent</t>
  </si>
  <si>
    <t>BOP 배관공사 공정표 — 시나리오 비교 Gantt  (회색=Baseline / 컬러=시나리오)</t>
  </si>
  <si>
    <t>▣ CONTROL 시트 C8~C10 값 변경 시 자동 반영  |  W0 = DI 기준일  |  회색 바: 원래 계획 (Baseline)  |  컬러 바: 시나리오 반영 일정  |  적색 연장: 지연 구간</t>
  </si>
  <si>
    <t>범 례</t>
  </si>
  <si>
    <t>ID</t>
  </si>
  <si>
    <t>섹션</t>
  </si>
  <si>
    <t>계통</t>
  </si>
  <si>
    <t>작업 항목</t>
  </si>
  <si>
    <t>Phase</t>
  </si>
  <si>
    <t>기간</t>
  </si>
  <si>
    <t>B.Start</t>
  </si>
  <si>
    <t>B.End</t>
  </si>
  <si>
    <t>S.Start</t>
  </si>
  <si>
    <t>S.End</t>
  </si>
  <si>
    <t>지연(주)</t>
  </si>
  <si>
    <t>Type</t>
  </si>
  <si>
    <t>W-32</t>
  </si>
  <si>
    <t>W-30</t>
  </si>
  <si>
    <t>W-28</t>
  </si>
  <si>
    <t>W-26</t>
  </si>
  <si>
    <t>W-24</t>
  </si>
  <si>
    <t>W-22</t>
  </si>
  <si>
    <t>W-20</t>
  </si>
  <si>
    <t>W-18</t>
  </si>
  <si>
    <t>W-16</t>
  </si>
  <si>
    <t>W-14</t>
  </si>
  <si>
    <t>W-12</t>
  </si>
  <si>
    <t>W-10</t>
  </si>
  <si>
    <t>W-8</t>
  </si>
  <si>
    <t>W-6</t>
  </si>
  <si>
    <t>W-4</t>
  </si>
  <si>
    <t>W-2</t>
  </si>
  <si>
    <t>W0
▼DI</t>
  </si>
  <si>
    <t>W+2</t>
  </si>
  <si>
    <t>W+4</t>
  </si>
  <si>
    <t>W+6</t>
  </si>
  <si>
    <t>W+8</t>
  </si>
  <si>
    <t>W+10</t>
  </si>
  <si>
    <t>W+12</t>
  </si>
  <si>
    <t>W+14</t>
  </si>
  <si>
    <t>W+16</t>
  </si>
  <si>
    <t>W+18</t>
  </si>
  <si>
    <t>W+20</t>
  </si>
  <si>
    <t>W+22</t>
  </si>
  <si>
    <t>W+24</t>
  </si>
  <si>
    <t>W+26</t>
  </si>
  <si>
    <t>W+28</t>
  </si>
  <si>
    <t>W+30</t>
  </si>
  <si>
    <t>W+32</t>
  </si>
  <si>
    <t>W+34</t>
  </si>
  <si>
    <t>W+36</t>
  </si>
  <si>
    <t>▶  SECTION 1 :  Civil / Structural  선행공정  (Pipe Rack · Building · Sleeper/Embed)</t>
  </si>
  <si>
    <t>▶  SECTION 2 :  BOP Piping Construction  (시스템별 · 선행공정 의존성 반영)</t>
  </si>
  <si>
    <t xml:space="preserve">  01.  CWS  —  냉각수 계통  (Cooling Water)  |  주요 Civil 의존: NONE</t>
  </si>
  <si>
    <t xml:space="preserve">  02.  CD  —  복수 계통  (Condensate)  |  주요 Civil 의존: NONE</t>
  </si>
  <si>
    <t xml:space="preserve">  03.  FW  —  급수 계통  (Feed Water)  |  주요 Civil 의존: NONE</t>
  </si>
  <si>
    <t xml:space="preserve">  04.  AUX  —  보조증기 계통  (Aux. Steam)  |  주요 Civil 의존: NONE</t>
  </si>
  <si>
    <t xml:space="preserve">  05.  NG  —  천연가스 계통  (Natural Gas)  |  주요 Civil 의존: NONE</t>
  </si>
  <si>
    <t xml:space="preserve">  06.  FO  —  연료유 계통  (Fuel Oil)  |  주요 Civil 의존: NONE</t>
  </si>
  <si>
    <t xml:space="preserve">  07.  CAS  —  압축공기 계통  (Compressed Air)  |  주요 Civil 의존: NONE</t>
  </si>
  <si>
    <t xml:space="preserve">  08.  CHM  —  약품주입 계통  (Chemical Dosing)  |  주요 Civil 의존: NONE</t>
  </si>
  <si>
    <t xml:space="preserve">  09.  FPS  —  소화 계통  (Fire Protection)  |  주요 Civil 의존: NONE</t>
  </si>
  <si>
    <t xml:space="preserve">  10.  SWS  —  서비스/음용수  (Service Water)  |  주요 Civil 의존: NONE</t>
  </si>
  <si>
    <t xml:space="preserve">  11.  D/V  —  드레인/벤트  (Drain &amp; Vent)  |  주요 Civil 의존: NONE</t>
  </si>
  <si>
    <t>※ 회색 바 = Baseline 계획  |  컬러 바 = 시나리오 일정  |  진홍색 연장 = Civil 지연에 의한 배관공사 지연 구간  |  CONTROL 시트 C8/C9/C10 입력 즉시 반영  |  Power BI 연동: DATA 시트 tbl_BOP_Schedule 테이블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</si>
</sst>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\ &quot;주&quot;"/>
    <numFmt numFmtId="178" formatCode="0\ &quot;주&quot;;;&quot;-&quot;"/>
    <numFmt numFmtId="179" formatCode="0;\-0;&quot;-&quot;"/>
    <numFmt numFmtId="180" formatCode="0;\-0;&quot;&quot;"/>
  </numFmts>
  <fonts count="27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b/>
      <sz val="8"/>
      <color rgb="FF1F3864"/>
      <name val="Arial"/>
    </font>
    <font>
      <sz val="9"/>
      <color rgb="FF000000"/>
      <name val="Arial"/>
    </font>
    <font>
      <b/>
      <sz val="9"/>
      <color rgb="FF0000CD"/>
      <name val="Arial"/>
    </font>
    <font>
      <i/>
      <sz val="8"/>
      <color rgb="FF595959"/>
      <name val="Arial"/>
    </font>
    <font>
      <b/>
      <sz val="11"/>
      <color rgb="FF0000CD"/>
      <name val="Arial"/>
    </font>
    <font>
      <sz val="8"/>
      <color rgb="FF000000"/>
      <name val="Arial"/>
    </font>
    <font>
      <i/>
      <sz val="9"/>
      <color rgb="FF0070C0"/>
      <name val="Arial"/>
    </font>
    <font>
      <b/>
      <sz val="10"/>
      <color rgb="FF000000"/>
      <name val="Arial"/>
    </font>
    <font>
      <b/>
      <sz val="9"/>
      <color rgb="FF1F3864"/>
      <name val="Arial"/>
    </font>
    <font>
      <b/>
      <sz val="7"/>
      <color rgb="FFFFFFFF"/>
      <name val="Arial"/>
    </font>
    <font>
      <b/>
      <sz val="7"/>
      <color rgb="FF1F3864"/>
      <name val="Arial"/>
    </font>
    <font>
      <b/>
      <sz val="9"/>
      <color rgb="FF003087"/>
      <name val="Arial"/>
    </font>
    <font>
      <i/>
      <sz val="8"/>
      <color rgb="FF003087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12"/>
      <color rgb="FFFFFFFF"/>
      <name val="Arial"/>
    </font>
    <font>
      <i/>
      <sz val="8"/>
      <color rgb="FFFFFFFF"/>
      <name val="Arial"/>
    </font>
    <font>
      <sz val="6"/>
      <color rgb="FF999999"/>
      <name val="Arial"/>
    </font>
    <font>
      <b/>
      <sz val="9"/>
      <color rgb="FFFFFFFF"/>
      <name val="Arial"/>
    </font>
    <font>
      <sz val="7"/>
      <color rgb="FF000000"/>
      <name val="Arial"/>
    </font>
    <font>
      <b/>
      <sz val="7"/>
      <color rgb="FF000000"/>
      <name val="Arial"/>
    </font>
    <font>
      <i/>
      <sz val="7"/>
      <color rgb="FF595959"/>
      <name val="Arial"/>
    </font>
    <font>
      <sz val="8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B4A7A"/>
      </patternFill>
    </fill>
    <fill>
      <patternFill patternType="solid">
        <fgColor rgb="FF243F60"/>
      </patternFill>
    </fill>
    <fill>
      <patternFill patternType="solid">
        <fgColor rgb="FFD6DCE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8F8F8"/>
      </patternFill>
    </fill>
    <fill>
      <patternFill patternType="solid">
        <fgColor rgb="FFA9D18E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4B942"/>
      </patternFill>
    </fill>
    <fill>
      <patternFill patternType="solid">
        <fgColor rgb="FFFF4444"/>
      </patternFill>
    </fill>
    <fill>
      <patternFill patternType="solid">
        <fgColor rgb="FF7B3F00"/>
      </patternFill>
    </fill>
    <fill>
      <patternFill patternType="solid">
        <fgColor rgb="FF606060"/>
      </patternFill>
    </fill>
    <fill>
      <patternFill patternType="solid">
        <fgColor rgb="FF909090"/>
      </patternFill>
    </fill>
    <fill>
      <patternFill patternType="solid">
        <fgColor rgb="FFB8B8B8"/>
      </patternFill>
    </fill>
    <fill>
      <patternFill patternType="solid">
        <fgColor rgb="FFDDEEFF"/>
      </patternFill>
    </fill>
    <fill>
      <patternFill patternType="solid">
        <fgColor rgb="FFEAF2FF"/>
      </patternFill>
    </fill>
    <fill>
      <patternFill patternType="solid">
        <fgColor rgb="FFF5F5F5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55A11"/>
      </left>
      <right style="medium">
        <color rgb="FFC55A11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176" fontId="6" fillId="7" borderId="2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177" fontId="8" fillId="8" borderId="2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left" vertical="center" wrapText="1"/>
    </xf>
    <xf numFmtId="179" fontId="9" fillId="22" borderId="1" xfId="0" applyNumberFormat="1" applyFont="1" applyFill="1" applyBorder="1" applyAlignment="1">
      <alignment horizontal="center" vertical="center" wrapText="1"/>
    </xf>
    <xf numFmtId="176" fontId="9" fillId="22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179" fontId="9" fillId="7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176" fontId="9" fillId="7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0" fontId="23" fillId="22" borderId="1" xfId="0" applyFont="1" applyFill="1" applyBorder="1" applyAlignment="1">
      <alignment horizontal="center" vertical="center" wrapText="1"/>
    </xf>
    <xf numFmtId="0" fontId="23" fillId="22" borderId="1" xfId="0" applyFont="1" applyFill="1" applyBorder="1" applyAlignment="1">
      <alignment horizontal="left" vertical="center" wrapText="1"/>
    </xf>
    <xf numFmtId="180" fontId="23" fillId="22" borderId="1" xfId="0" applyNumberFormat="1" applyFont="1" applyFill="1" applyBorder="1" applyAlignment="1">
      <alignment horizontal="center" vertical="center" wrapText="1"/>
    </xf>
    <xf numFmtId="180" fontId="23" fillId="22" borderId="5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5" xfId="0" applyFill="1" applyBorder="1"/>
    <xf numFmtId="0" fontId="23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 wrapText="1"/>
    </xf>
    <xf numFmtId="179" fontId="23" fillId="7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180" fontId="23" fillId="7" borderId="1" xfId="0" applyNumberFormat="1" applyFont="1" applyFill="1" applyBorder="1" applyAlignment="1">
      <alignment horizontal="center" vertical="center" wrapText="1"/>
    </xf>
    <xf numFmtId="180" fontId="23" fillId="7" borderId="5" xfId="0" applyNumberFormat="1" applyFont="1" applyFill="1" applyBorder="1" applyAlignment="1">
      <alignment horizontal="center" vertical="center" wrapText="1"/>
    </xf>
    <xf numFmtId="179" fontId="23" fillId="22" borderId="1" xfId="0" applyNumberFormat="1" applyFont="1" applyFill="1" applyBorder="1" applyAlignment="1">
      <alignment horizontal="center" vertical="center" wrapText="1"/>
    </xf>
    <xf numFmtId="0" fontId="24" fillId="22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6" fillId="21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0" fillId="9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5" fillId="21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center" vertical="center" wrapText="1"/>
    </xf>
    <xf numFmtId="0" fontId="25" fillId="2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left" vertical="center" wrapText="1"/>
    </xf>
    <xf numFmtId="0" fontId="22" fillId="17" borderId="0" xfId="0" applyFont="1" applyFill="1" applyAlignment="1">
      <alignment horizontal="left" vertical="center" wrapText="1"/>
    </xf>
  </cellXfs>
  <cellStyles count="1">
    <cellStyle name="표준" xfId="0" builtinId="0"/>
  </cellStyles>
  <dxfs count="27">
    <dxf>
      <font>
        <sz val="1"/>
        <color rgb="FFFFFFFF"/>
      </font>
      <fill>
        <patternFill patternType="solid">
          <fgColor rgb="FFCC0000"/>
        </patternFill>
      </fill>
    </dxf>
    <dxf>
      <font>
        <sz val="1"/>
        <color rgb="FFFFFFFF"/>
      </font>
      <fill>
        <patternFill patternType="solid">
          <fgColor rgb="FFCC0000"/>
        </patternFill>
      </fill>
    </dxf>
    <dxf>
      <font>
        <sz val="1"/>
        <color rgb="FFFFFFFF"/>
      </font>
      <fill>
        <patternFill patternType="solid">
          <fgColor rgb="FFCC0000"/>
        </patternFill>
      </fill>
    </dxf>
    <dxf>
      <font>
        <sz val="1"/>
        <color rgb="FFFFFFFF"/>
      </font>
      <fill>
        <patternFill patternType="solid">
          <fgColor rgb="FF660000"/>
        </patternFill>
      </fill>
    </dxf>
    <dxf>
      <font>
        <sz val="1"/>
        <color rgb="FFFFFFFF"/>
      </font>
      <fill>
        <patternFill patternType="solid">
          <fgColor rgb="FF990000"/>
        </patternFill>
      </fill>
    </dxf>
    <dxf>
      <font>
        <sz val="1"/>
        <color rgb="FFFFFFFF"/>
      </font>
      <fill>
        <patternFill patternType="solid">
          <fgColor rgb="FFCC3300"/>
        </patternFill>
      </fill>
    </dxf>
    <dxf>
      <font>
        <sz val="1"/>
        <color rgb="FFFFFFFF"/>
      </font>
      <fill>
        <patternFill patternType="solid">
          <fgColor rgb="FFCC0000"/>
        </patternFill>
      </fill>
    </dxf>
    <dxf>
      <font>
        <sz val="1"/>
        <color rgb="FFFFFFFF"/>
      </font>
      <fill>
        <patternFill patternType="solid">
          <fgColor rgb="FFFF6600"/>
        </patternFill>
      </fill>
    </dxf>
    <dxf>
      <font>
        <sz val="1"/>
        <color rgb="FFFFFFFF"/>
      </font>
      <fill>
        <patternFill patternType="solid">
          <fgColor rgb="FFFF6600"/>
        </patternFill>
      </fill>
    </dxf>
    <dxf>
      <font>
        <sz val="1"/>
        <color rgb="FFFFFFFF"/>
      </font>
      <fill>
        <patternFill patternType="solid">
          <fgColor rgb="FFFF8C00"/>
        </patternFill>
      </fill>
    </dxf>
    <dxf>
      <font>
        <sz val="1"/>
        <color rgb="FF000000"/>
      </font>
      <fill>
        <patternFill patternType="solid">
          <fgColor rgb="FFB8B8B8"/>
        </patternFill>
      </fill>
    </dxf>
    <dxf>
      <font>
        <sz val="1"/>
        <color rgb="FFFFFFFF"/>
      </font>
      <fill>
        <patternFill patternType="solid">
          <fgColor rgb="FF909090"/>
        </patternFill>
      </fill>
    </dxf>
    <dxf>
      <font>
        <sz val="1"/>
        <color rgb="FFFFFFFF"/>
      </font>
      <fill>
        <patternFill patternType="solid">
          <fgColor rgb="FF606060"/>
        </patternFill>
      </fill>
    </dxf>
    <dxf>
      <font>
        <sz val="1"/>
        <color rgb="FFFFFFFF"/>
      </font>
      <fill>
        <patternFill patternType="solid">
          <fgColor rgb="FF7B3F00"/>
        </patternFill>
      </fill>
    </dxf>
    <dxf>
      <font>
        <sz val="1"/>
        <color rgb="FFFFFFFF"/>
      </font>
      <fill>
        <patternFill patternType="solid">
          <fgColor rgb="FFFF4444"/>
        </patternFill>
      </fill>
    </dxf>
    <dxf>
      <font>
        <sz val="1"/>
        <color rgb="FF000000"/>
      </font>
      <fill>
        <patternFill patternType="solid">
          <fgColor rgb="FFF4B942"/>
        </patternFill>
      </fill>
    </dxf>
    <dxf>
      <font>
        <sz val="1"/>
        <color rgb="FFFFFFFF"/>
      </font>
      <fill>
        <patternFill patternType="solid">
          <fgColor rgb="FFED7D31"/>
        </patternFill>
      </fill>
    </dxf>
    <dxf>
      <font>
        <sz val="1"/>
        <color rgb="FFFFFFFF"/>
      </font>
      <fill>
        <patternFill patternType="solid">
          <fgColor rgb="FF70AD47"/>
        </patternFill>
      </fill>
    </dxf>
    <dxf>
      <font>
        <sz val="1"/>
        <color rgb="FFFFFFFF"/>
      </font>
      <fill>
        <patternFill patternType="solid">
          <fgColor rgb="FF5B9BD5"/>
        </patternFill>
      </fill>
    </dxf>
    <dxf>
      <font>
        <sz val="1"/>
        <color rgb="FFFFFFFF"/>
      </font>
      <fill>
        <patternFill patternType="solid">
          <fgColor rgb="FFA9D18E"/>
        </patternFill>
      </fill>
    </dxf>
    <dxf>
      <font>
        <sz val="1"/>
        <color rgb="FF2E75B6"/>
      </font>
      <fill>
        <patternFill patternType="solid">
          <fgColor rgb="FFDDEEFF"/>
        </patternFill>
      </fill>
    </dxf>
    <dxf>
      <font>
        <b/>
        <sz val="9"/>
        <color rgb="FF375623"/>
        <name val="Arial"/>
      </font>
      <fill>
        <patternFill patternType="solid">
          <fgColor rgb="FFE2EFDA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</patternFill>
      </fill>
    </dxf>
    <dxf>
      <font>
        <b/>
        <sz val="9"/>
        <color rgb="FF9C6500"/>
        <name val="Arial"/>
      </font>
      <fill>
        <patternFill patternType="solid">
          <fgColor rgb="FFFFEB9C"/>
        </patternFill>
      </fill>
    </dxf>
    <dxf>
      <font>
        <b/>
        <sz val="9"/>
        <color rgb="FF375623"/>
        <name val="Arial"/>
      </font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OP_Schedule" displayName="tbl_BOP_Schedule" ref="A1:T86">
  <autoFilter ref="A1:T86" xr:uid="{00000000-0009-0000-0100-000001000000}"/>
  <tableColumns count="20">
    <tableColumn id="1" xr3:uid="{00000000-0010-0000-0000-000001000000}" name="Row_ID"/>
    <tableColumn id="2" xr3:uid="{00000000-0010-0000-0000-000002000000}" name="Section"/>
    <tableColumn id="3" xr3:uid="{00000000-0010-0000-0000-000003000000}" name="Sys_No"/>
    <tableColumn id="4" xr3:uid="{00000000-0010-0000-0000-000004000000}" name="Sys_Code"/>
    <tableColumn id="5" xr3:uid="{00000000-0010-0000-0000-000005000000}" name="Sys_Name_KR"/>
    <tableColumn id="6" xr3:uid="{00000000-0010-0000-0000-000006000000}" name="Sys_Name_EN"/>
    <tableColumn id="7" xr3:uid="{00000000-0010-0000-0000-000007000000}" name="Activity"/>
    <tableColumn id="8" xr3:uid="{00000000-0010-0000-0000-000008000000}" name="Type_Name"/>
    <tableColumn id="9" xr3:uid="{00000000-0010-0000-0000-000009000000}" name="Act_Phase"/>
    <tableColumn id="10" xr3:uid="{00000000-0010-0000-0000-00000A000000}" name="Civil_Dep"/>
    <tableColumn id="11" xr3:uid="{00000000-0010-0000-0000-00000B000000}" name="Base_Start"/>
    <tableColumn id="12" xr3:uid="{00000000-0010-0000-0000-00000C000000}" name="Base_End"/>
    <tableColumn id="13" xr3:uid="{00000000-0010-0000-0000-00000D000000}" name="Duration"/>
    <tableColumn id="14" xr3:uid="{00000000-0010-0000-0000-00000E000000}" name="Delay_Wk"/>
    <tableColumn id="15" xr3:uid="{00000000-0010-0000-0000-00000F000000}" name="Scen_Start"/>
    <tableColumn id="16" xr3:uid="{00000000-0010-0000-0000-000010000000}" name="Scen_End"/>
    <tableColumn id="17" xr3:uid="{00000000-0010-0000-0000-000011000000}" name="Is_Delayed"/>
    <tableColumn id="18" xr3:uid="{00000000-0010-0000-0000-000012000000}" name="Type_Code"/>
    <tableColumn id="19" xr3:uid="{00000000-0010-0000-0000-000013000000}" name="Date_Base_Start"/>
    <tableColumn id="20" xr3:uid="{00000000-0010-0000-0000-000014000000}" name="Date_Scen_Sta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25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J1"/>
    </sheetView>
  </sheetViews>
  <sheetFormatPr defaultRowHeight="17.399999999999999" x14ac:dyDescent="0.4"/>
  <cols>
    <col min="1" max="1" width="2" customWidth="1"/>
    <col min="2" max="2" width="34" customWidth="1"/>
    <col min="3" max="5" width="18" customWidth="1"/>
    <col min="6" max="6" width="2" customWidth="1"/>
    <col min="7" max="7" width="28" customWidth="1"/>
    <col min="8" max="9" width="18" customWidth="1"/>
    <col min="10" max="10" width="2" customWidth="1"/>
  </cols>
  <sheetData>
    <row r="1" spans="1:10" ht="31.95" customHeight="1" x14ac:dyDescent="0.4">
      <c r="A1" s="52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6.05" customHeight="1" x14ac:dyDescent="0.4">
      <c r="A2" s="60" t="s">
        <v>1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ht="10.050000000000001" customHeight="1" x14ac:dyDescent="0.4"/>
    <row r="4" spans="1:10" ht="22.05" customHeight="1" x14ac:dyDescent="0.4">
      <c r="A4" s="54" t="s">
        <v>2</v>
      </c>
      <c r="B4" s="51"/>
      <c r="C4" s="51"/>
      <c r="D4" s="51"/>
      <c r="E4" s="51"/>
      <c r="G4" s="54" t="s">
        <v>3</v>
      </c>
      <c r="H4" s="51"/>
      <c r="I4" s="51"/>
    </row>
    <row r="5" spans="1:10" ht="25.95" customHeight="1" x14ac:dyDescent="0.4">
      <c r="B5" s="1" t="s">
        <v>4</v>
      </c>
      <c r="C5" s="1" t="s">
        <v>5</v>
      </c>
      <c r="D5" s="1" t="s">
        <v>6</v>
      </c>
      <c r="E5" s="1" t="s">
        <v>7</v>
      </c>
      <c r="G5" s="1" t="s">
        <v>8</v>
      </c>
      <c r="H5" s="1" t="s">
        <v>9</v>
      </c>
      <c r="I5" s="1" t="s">
        <v>10</v>
      </c>
    </row>
    <row r="6" spans="1:10" ht="18" customHeight="1" x14ac:dyDescent="0.4">
      <c r="B6" s="2" t="s">
        <v>11</v>
      </c>
      <c r="C6" s="3" t="s">
        <v>12</v>
      </c>
      <c r="D6" s="50" t="s">
        <v>13</v>
      </c>
      <c r="E6" s="51"/>
      <c r="G6" s="4" t="s">
        <v>14</v>
      </c>
      <c r="H6" s="5" t="s">
        <v>15</v>
      </c>
      <c r="I6" s="6">
        <f ca="1">IFERROR(_xludf.MAXIFS(DATA!$N:$N,DATA!$D:$D,G6,DATA!$I:$I,"FIELD"),0)</f>
        <v>0</v>
      </c>
    </row>
    <row r="7" spans="1:10" ht="18" customHeight="1" x14ac:dyDescent="0.4">
      <c r="B7" s="2" t="s">
        <v>16</v>
      </c>
      <c r="C7" s="7">
        <v>0</v>
      </c>
      <c r="D7" s="8" t="s">
        <v>17</v>
      </c>
      <c r="E7" s="9" t="s">
        <v>18</v>
      </c>
      <c r="G7" s="4" t="s">
        <v>19</v>
      </c>
      <c r="H7" s="5" t="s">
        <v>20</v>
      </c>
      <c r="I7" s="6">
        <f ca="1">IFERROR(_xludf.MAXIFS(DATA!$N:$N,DATA!$D:$D,G7,DATA!$I:$I,"FIELD"),0)</f>
        <v>0</v>
      </c>
    </row>
    <row r="8" spans="1:10" ht="18" customHeight="1" x14ac:dyDescent="0.4">
      <c r="B8" s="2" t="s">
        <v>21</v>
      </c>
      <c r="C8" s="7">
        <v>0</v>
      </c>
      <c r="D8" s="8" t="s">
        <v>17</v>
      </c>
      <c r="E8" s="9" t="s">
        <v>22</v>
      </c>
      <c r="G8" s="4" t="s">
        <v>23</v>
      </c>
      <c r="H8" s="5" t="s">
        <v>24</v>
      </c>
      <c r="I8" s="6">
        <f ca="1">IFERROR(_xludf.MAXIFS(DATA!$N:$N,DATA!$D:$D,G8,DATA!$I:$I,"FIELD"),0)</f>
        <v>0</v>
      </c>
    </row>
    <row r="9" spans="1:10" ht="18" customHeight="1" x14ac:dyDescent="0.4">
      <c r="B9" s="2" t="s">
        <v>25</v>
      </c>
      <c r="C9" s="7">
        <v>0</v>
      </c>
      <c r="D9" s="8" t="s">
        <v>26</v>
      </c>
      <c r="E9" s="9" t="s">
        <v>27</v>
      </c>
      <c r="G9" s="4" t="s">
        <v>28</v>
      </c>
      <c r="H9" s="5" t="s">
        <v>29</v>
      </c>
      <c r="I9" s="6">
        <f ca="1">IFERROR(_xludf.MAXIFS(DATA!$N:$N,DATA!$D:$D,G9,DATA!$I:$I,"FIELD"),0)</f>
        <v>0</v>
      </c>
    </row>
    <row r="10" spans="1:10" ht="18" customHeight="1" x14ac:dyDescent="0.4">
      <c r="G10" s="4" t="s">
        <v>30</v>
      </c>
      <c r="H10" s="5" t="s">
        <v>31</v>
      </c>
      <c r="I10" s="6">
        <f ca="1">IFERROR(_xludf.MAXIFS(DATA!$N:$N,DATA!$D:$D,G10,DATA!$I:$I,"FIELD"),0)</f>
        <v>0</v>
      </c>
    </row>
    <row r="11" spans="1:10" ht="18" customHeight="1" x14ac:dyDescent="0.4">
      <c r="A11" s="54" t="s">
        <v>32</v>
      </c>
      <c r="B11" s="51"/>
      <c r="C11" s="51"/>
      <c r="D11" s="51"/>
      <c r="E11" s="51"/>
      <c r="G11" s="4" t="s">
        <v>33</v>
      </c>
      <c r="H11" s="5" t="s">
        <v>34</v>
      </c>
      <c r="I11" s="6">
        <f ca="1">IFERROR(_xludf.MAXIFS(DATA!$N:$N,DATA!$D:$D,G11,DATA!$I:$I,"FIELD"),0)</f>
        <v>0</v>
      </c>
    </row>
    <row r="12" spans="1:10" ht="18" customHeight="1" x14ac:dyDescent="0.4">
      <c r="B12" s="56" t="s">
        <v>35</v>
      </c>
      <c r="C12" s="57"/>
      <c r="D12" s="57"/>
      <c r="E12" s="58"/>
      <c r="G12" s="4" t="s">
        <v>36</v>
      </c>
      <c r="H12" s="5" t="s">
        <v>37</v>
      </c>
      <c r="I12" s="6">
        <f ca="1">IFERROR(_xludf.MAXIFS(DATA!$N:$N,DATA!$D:$D,G12,DATA!$I:$I,"FIELD"),0)</f>
        <v>0</v>
      </c>
    </row>
    <row r="13" spans="1:10" ht="18" customHeight="1" x14ac:dyDescent="0.4">
      <c r="B13" s="56" t="s">
        <v>38</v>
      </c>
      <c r="C13" s="57"/>
      <c r="D13" s="57"/>
      <c r="E13" s="58"/>
      <c r="G13" s="4" t="s">
        <v>39</v>
      </c>
      <c r="H13" s="5" t="s">
        <v>40</v>
      </c>
      <c r="I13" s="6">
        <f ca="1">IFERROR(_xludf.MAXIFS(DATA!$N:$N,DATA!$D:$D,G13,DATA!$I:$I,"FIELD"),0)</f>
        <v>0</v>
      </c>
    </row>
    <row r="14" spans="1:10" ht="18" customHeight="1" x14ac:dyDescent="0.4">
      <c r="B14" s="56" t="s">
        <v>41</v>
      </c>
      <c r="C14" s="57"/>
      <c r="D14" s="57"/>
      <c r="E14" s="58"/>
      <c r="G14" s="4" t="s">
        <v>42</v>
      </c>
      <c r="H14" s="5" t="s">
        <v>43</v>
      </c>
      <c r="I14" s="6">
        <f ca="1">IFERROR(_xludf.MAXIFS(DATA!$N:$N,DATA!$D:$D,G14,DATA!$I:$I,"FIELD"),0)</f>
        <v>0</v>
      </c>
    </row>
    <row r="15" spans="1:10" ht="18" customHeight="1" x14ac:dyDescent="0.4">
      <c r="B15" s="56" t="s">
        <v>44</v>
      </c>
      <c r="C15" s="57"/>
      <c r="D15" s="57"/>
      <c r="E15" s="58"/>
      <c r="G15" s="4" t="s">
        <v>45</v>
      </c>
      <c r="H15" s="5" t="s">
        <v>46</v>
      </c>
      <c r="I15" s="6">
        <f ca="1">IFERROR(_xludf.MAXIFS(DATA!$N:$N,DATA!$D:$D,G15,DATA!$I:$I,"FIELD"),0)</f>
        <v>0</v>
      </c>
    </row>
    <row r="16" spans="1:10" ht="18" customHeight="1" x14ac:dyDescent="0.4">
      <c r="B16" s="59" t="s">
        <v>47</v>
      </c>
      <c r="C16" s="57"/>
      <c r="D16" s="57"/>
      <c r="E16" s="58"/>
      <c r="G16" s="4" t="s">
        <v>48</v>
      </c>
      <c r="H16" s="5" t="s">
        <v>49</v>
      </c>
      <c r="I16" s="6">
        <f ca="1">IFERROR(_xludf.MAXIFS(DATA!$N:$N,DATA!$D:$D,G16,DATA!$I:$I,"FIELD"),0)</f>
        <v>0</v>
      </c>
    </row>
    <row r="17" spans="1:9" ht="7.95" customHeight="1" x14ac:dyDescent="0.4"/>
    <row r="18" spans="1:9" ht="7.95" customHeight="1" x14ac:dyDescent="0.4"/>
    <row r="19" spans="1:9" ht="18" customHeight="1" x14ac:dyDescent="0.4">
      <c r="A19" s="55" t="s">
        <v>50</v>
      </c>
      <c r="B19" s="51"/>
      <c r="C19" s="51"/>
      <c r="D19" s="51"/>
      <c r="E19" s="51"/>
      <c r="F19" s="51"/>
      <c r="G19" s="51"/>
      <c r="H19" s="51"/>
      <c r="I19" s="51"/>
    </row>
    <row r="20" spans="1:9" ht="16.05" customHeight="1" x14ac:dyDescent="0.4">
      <c r="B20" s="10" t="s">
        <v>51</v>
      </c>
      <c r="C20" s="11" t="s">
        <v>52</v>
      </c>
      <c r="D20" s="12" t="s">
        <v>53</v>
      </c>
      <c r="E20" s="13" t="s">
        <v>54</v>
      </c>
      <c r="F20" s="14" t="s">
        <v>55</v>
      </c>
    </row>
    <row r="21" spans="1:9" ht="16.05" customHeight="1" x14ac:dyDescent="0.4">
      <c r="B21" s="15" t="s">
        <v>56</v>
      </c>
      <c r="C21" s="16" t="s">
        <v>57</v>
      </c>
      <c r="D21" s="17" t="s">
        <v>58</v>
      </c>
      <c r="E21" s="18" t="s">
        <v>59</v>
      </c>
      <c r="F21" s="19" t="s">
        <v>60</v>
      </c>
    </row>
    <row r="22" spans="1:9" ht="16.05" customHeight="1" x14ac:dyDescent="0.4">
      <c r="B22" s="20" t="s">
        <v>61</v>
      </c>
    </row>
    <row r="23" spans="1:9" ht="7.95" customHeight="1" x14ac:dyDescent="0.4"/>
    <row r="24" spans="1:9" ht="19.95" customHeight="1" x14ac:dyDescent="0.4">
      <c r="A24" s="61" t="s">
        <v>62</v>
      </c>
      <c r="B24" s="51"/>
      <c r="C24" s="51"/>
      <c r="D24" s="51"/>
      <c r="E24" s="51"/>
      <c r="F24" s="51"/>
      <c r="G24" s="51"/>
      <c r="H24" s="51"/>
      <c r="I24" s="51"/>
    </row>
    <row r="25" spans="1:9" ht="18" customHeight="1" x14ac:dyDescent="0.4">
      <c r="A25" s="53" t="s">
        <v>63</v>
      </c>
      <c r="B25" s="51"/>
      <c r="C25" s="51"/>
      <c r="D25" s="51"/>
      <c r="E25" s="51"/>
      <c r="F25" s="51"/>
      <c r="G25" s="51"/>
      <c r="H25" s="51"/>
      <c r="I25" s="51"/>
    </row>
  </sheetData>
  <mergeCells count="14">
    <mergeCell ref="D6:E6"/>
    <mergeCell ref="A1:J1"/>
    <mergeCell ref="A25:I25"/>
    <mergeCell ref="A4:E4"/>
    <mergeCell ref="A19:I19"/>
    <mergeCell ref="B12:E12"/>
    <mergeCell ref="B13:E13"/>
    <mergeCell ref="B16:E16"/>
    <mergeCell ref="A11:E11"/>
    <mergeCell ref="B15:E15"/>
    <mergeCell ref="G4:I4"/>
    <mergeCell ref="A2:J2"/>
    <mergeCell ref="A24:I24"/>
    <mergeCell ref="B14:E14"/>
  </mergeCells>
  <phoneticPr fontId="26" type="noConversion"/>
  <conditionalFormatting sqref="I6:I16">
    <cfRule type="cellIs" dxfId="26" priority="1" operator="equal">
      <formula>0</formula>
    </cfRule>
    <cfRule type="cellIs" dxfId="25" priority="2" operator="between">
      <formula>1</formula>
      <formula>3</formula>
    </cfRule>
    <cfRule type="cellIs" dxfId="24" priority="3" operator="greaterThanOrEqual">
      <formula>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T86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8" customWidth="1"/>
    <col min="2" max="4" width="14" customWidth="1"/>
    <col min="5" max="6" width="18" customWidth="1"/>
    <col min="7" max="7" width="26" customWidth="1"/>
    <col min="8" max="20" width="14" customWidth="1"/>
  </cols>
  <sheetData>
    <row r="1" spans="1:20" ht="22.05" customHeight="1" x14ac:dyDescent="0.4">
      <c r="A1" s="21" t="s">
        <v>64</v>
      </c>
      <c r="B1" s="21" t="s">
        <v>65</v>
      </c>
      <c r="C1" s="21" t="s">
        <v>66</v>
      </c>
      <c r="D1" s="21" t="s">
        <v>67</v>
      </c>
      <c r="E1" s="21" t="s">
        <v>68</v>
      </c>
      <c r="F1" s="21" t="s">
        <v>69</v>
      </c>
      <c r="G1" s="21" t="s">
        <v>70</v>
      </c>
      <c r="H1" s="21" t="s">
        <v>71</v>
      </c>
      <c r="I1" s="21" t="s">
        <v>72</v>
      </c>
      <c r="J1" s="21" t="s">
        <v>73</v>
      </c>
      <c r="K1" s="21" t="s">
        <v>74</v>
      </c>
      <c r="L1" s="21" t="s">
        <v>75</v>
      </c>
      <c r="M1" s="21" t="s">
        <v>76</v>
      </c>
      <c r="N1" s="21" t="s">
        <v>77</v>
      </c>
      <c r="O1" s="21" t="s">
        <v>78</v>
      </c>
      <c r="P1" s="21" t="s">
        <v>79</v>
      </c>
      <c r="Q1" s="21" t="s">
        <v>80</v>
      </c>
      <c r="R1" s="21" t="s">
        <v>81</v>
      </c>
      <c r="S1" s="21" t="s">
        <v>82</v>
      </c>
      <c r="T1" s="21" t="s">
        <v>83</v>
      </c>
    </row>
    <row r="2" spans="1:20" x14ac:dyDescent="0.4">
      <c r="A2" s="22">
        <v>1</v>
      </c>
      <c r="B2" s="22" t="s">
        <v>84</v>
      </c>
      <c r="C2" s="22"/>
      <c r="D2" s="23" t="s">
        <v>85</v>
      </c>
      <c r="E2" s="24" t="s">
        <v>58</v>
      </c>
      <c r="F2" s="24" t="s">
        <v>58</v>
      </c>
      <c r="G2" s="24" t="s">
        <v>86</v>
      </c>
      <c r="H2" s="23" t="s">
        <v>87</v>
      </c>
      <c r="I2" s="22" t="s">
        <v>84</v>
      </c>
      <c r="J2" s="22" t="s">
        <v>88</v>
      </c>
      <c r="K2" s="22">
        <v>-28</v>
      </c>
      <c r="L2" s="22">
        <v>-20</v>
      </c>
      <c r="M2" s="22">
        <v>8</v>
      </c>
      <c r="N2" s="25">
        <f>IF(I2="PROC",0,IF(J2="PR",CONTROL!$C$8,IF(J2="BLDG",CONTROL!$C$9,IF(J2="SLP",CONTROL!$C$10,0))))</f>
        <v>0</v>
      </c>
      <c r="O2" s="22">
        <f t="shared" ref="O2:O33" si="0">K2+N2</f>
        <v>-28</v>
      </c>
      <c r="P2" s="22">
        <f t="shared" ref="P2:P33" si="1">L2+N2</f>
        <v>-20</v>
      </c>
      <c r="Q2" s="23" t="str">
        <f t="shared" ref="Q2:Q33" si="2">IF(N2&gt;0,"DELAYED","ON TIME")</f>
        <v>ON TIME</v>
      </c>
      <c r="R2" s="22">
        <v>8</v>
      </c>
      <c r="S2" s="26">
        <f>CONTROL!$C$6+K2*7</f>
        <v>45886</v>
      </c>
      <c r="T2" s="26">
        <f>CONTROL!$C$6+O2*7</f>
        <v>45886</v>
      </c>
    </row>
    <row r="3" spans="1:20" x14ac:dyDescent="0.4">
      <c r="A3" s="22">
        <v>2</v>
      </c>
      <c r="B3" s="22" t="s">
        <v>84</v>
      </c>
      <c r="C3" s="22"/>
      <c r="D3" s="23" t="s">
        <v>85</v>
      </c>
      <c r="E3" s="24" t="s">
        <v>58</v>
      </c>
      <c r="F3" s="24" t="s">
        <v>58</v>
      </c>
      <c r="G3" s="24" t="s">
        <v>89</v>
      </c>
      <c r="H3" s="23" t="s">
        <v>90</v>
      </c>
      <c r="I3" s="22" t="s">
        <v>84</v>
      </c>
      <c r="J3" s="22" t="s">
        <v>88</v>
      </c>
      <c r="K3" s="22">
        <v>-24</v>
      </c>
      <c r="L3" s="22">
        <v>-12</v>
      </c>
      <c r="M3" s="22">
        <v>12</v>
      </c>
      <c r="N3" s="25">
        <f>IF(I3="PROC",0,IF(J3="PR",CONTROL!$C$8,IF(J3="BLDG",CONTROL!$C$9,IF(J3="SLP",CONTROL!$C$10,0))))</f>
        <v>0</v>
      </c>
      <c r="O3" s="22">
        <f t="shared" si="0"/>
        <v>-24</v>
      </c>
      <c r="P3" s="22">
        <f t="shared" si="1"/>
        <v>-12</v>
      </c>
      <c r="Q3" s="23" t="str">
        <f t="shared" si="2"/>
        <v>ON TIME</v>
      </c>
      <c r="R3" s="22">
        <v>8</v>
      </c>
      <c r="S3" s="26">
        <f>CONTROL!$C$6+K3*7</f>
        <v>45914</v>
      </c>
      <c r="T3" s="26">
        <f>CONTROL!$C$6+O3*7</f>
        <v>45914</v>
      </c>
    </row>
    <row r="4" spans="1:20" x14ac:dyDescent="0.4">
      <c r="A4" s="22">
        <v>3</v>
      </c>
      <c r="B4" s="22" t="s">
        <v>84</v>
      </c>
      <c r="C4" s="22"/>
      <c r="D4" s="23" t="s">
        <v>85</v>
      </c>
      <c r="E4" s="24" t="s">
        <v>58</v>
      </c>
      <c r="F4" s="24" t="s">
        <v>58</v>
      </c>
      <c r="G4" s="24" t="s">
        <v>91</v>
      </c>
      <c r="H4" s="23" t="s">
        <v>92</v>
      </c>
      <c r="I4" s="22" t="s">
        <v>84</v>
      </c>
      <c r="J4" s="22" t="s">
        <v>88</v>
      </c>
      <c r="K4" s="22">
        <v>-14</v>
      </c>
      <c r="L4" s="22">
        <v>-6</v>
      </c>
      <c r="M4" s="22">
        <v>8</v>
      </c>
      <c r="N4" s="25">
        <f>IF(I4="PROC",0,IF(J4="PR",CONTROL!$C$8,IF(J4="BLDG",CONTROL!$C$9,IF(J4="SLP",CONTROL!$C$10,0))))</f>
        <v>0</v>
      </c>
      <c r="O4" s="22">
        <f t="shared" si="0"/>
        <v>-14</v>
      </c>
      <c r="P4" s="22">
        <f t="shared" si="1"/>
        <v>-6</v>
      </c>
      <c r="Q4" s="23" t="str">
        <f t="shared" si="2"/>
        <v>ON TIME</v>
      </c>
      <c r="R4" s="22">
        <v>8</v>
      </c>
      <c r="S4" s="26">
        <f>CONTROL!$C$6+K4*7</f>
        <v>45984</v>
      </c>
      <c r="T4" s="26">
        <f>CONTROL!$C$6+O4*7</f>
        <v>45984</v>
      </c>
    </row>
    <row r="5" spans="1:20" x14ac:dyDescent="0.4">
      <c r="A5" s="22">
        <v>4</v>
      </c>
      <c r="B5" s="22" t="s">
        <v>84</v>
      </c>
      <c r="C5" s="22"/>
      <c r="D5" s="23" t="s">
        <v>85</v>
      </c>
      <c r="E5" s="24" t="s">
        <v>58</v>
      </c>
      <c r="F5" s="24" t="s">
        <v>58</v>
      </c>
      <c r="G5" s="24" t="s">
        <v>93</v>
      </c>
      <c r="H5" s="23" t="s">
        <v>94</v>
      </c>
      <c r="I5" s="22" t="s">
        <v>84</v>
      </c>
      <c r="J5" s="22" t="s">
        <v>88</v>
      </c>
      <c r="K5" s="22">
        <v>-6</v>
      </c>
      <c r="L5" s="22">
        <v>-2</v>
      </c>
      <c r="M5" s="22">
        <v>4</v>
      </c>
      <c r="N5" s="25">
        <f>IF(I5="PROC",0,IF(J5="PR",CONTROL!$C$8,IF(J5="BLDG",CONTROL!$C$9,IF(J5="SLP",CONTROL!$C$10,0))))</f>
        <v>0</v>
      </c>
      <c r="O5" s="22">
        <f t="shared" si="0"/>
        <v>-6</v>
      </c>
      <c r="P5" s="22">
        <f t="shared" si="1"/>
        <v>-2</v>
      </c>
      <c r="Q5" s="23" t="str">
        <f t="shared" si="2"/>
        <v>ON TIME</v>
      </c>
      <c r="R5" s="22">
        <v>8</v>
      </c>
      <c r="S5" s="26">
        <f>CONTROL!$C$6+K5*7</f>
        <v>46040</v>
      </c>
      <c r="T5" s="26">
        <f>CONTROL!$C$6+O5*7</f>
        <v>46040</v>
      </c>
    </row>
    <row r="6" spans="1:20" x14ac:dyDescent="0.4">
      <c r="A6" s="22">
        <v>5</v>
      </c>
      <c r="B6" s="22" t="s">
        <v>84</v>
      </c>
      <c r="C6" s="22"/>
      <c r="D6" s="23" t="s">
        <v>95</v>
      </c>
      <c r="E6" s="24" t="s">
        <v>96</v>
      </c>
      <c r="F6" s="24" t="s">
        <v>96</v>
      </c>
      <c r="G6" s="24" t="s">
        <v>97</v>
      </c>
      <c r="H6" s="23" t="s">
        <v>87</v>
      </c>
      <c r="I6" s="22" t="s">
        <v>84</v>
      </c>
      <c r="J6" s="22" t="s">
        <v>95</v>
      </c>
      <c r="K6" s="22">
        <v>-28</v>
      </c>
      <c r="L6" s="22">
        <v>-22</v>
      </c>
      <c r="M6" s="22">
        <v>6</v>
      </c>
      <c r="N6" s="25">
        <f>IF(I6="PROC",0,IF(J6="PR",CONTROL!$C$8,IF(J6="BLDG",CONTROL!$C$9,IF(J6="SLP",CONTROL!$C$10,0))))</f>
        <v>0</v>
      </c>
      <c r="O6" s="22">
        <f t="shared" si="0"/>
        <v>-28</v>
      </c>
      <c r="P6" s="22">
        <f t="shared" si="1"/>
        <v>-22</v>
      </c>
      <c r="Q6" s="23" t="str">
        <f t="shared" si="2"/>
        <v>ON TIME</v>
      </c>
      <c r="R6" s="22">
        <v>9</v>
      </c>
      <c r="S6" s="26">
        <f>CONTROL!$C$6+K6*7</f>
        <v>45886</v>
      </c>
      <c r="T6" s="26">
        <f>CONTROL!$C$6+O6*7</f>
        <v>45886</v>
      </c>
    </row>
    <row r="7" spans="1:20" x14ac:dyDescent="0.4">
      <c r="A7" s="22">
        <v>6</v>
      </c>
      <c r="B7" s="22" t="s">
        <v>84</v>
      </c>
      <c r="C7" s="22"/>
      <c r="D7" s="23" t="s">
        <v>95</v>
      </c>
      <c r="E7" s="24" t="s">
        <v>96</v>
      </c>
      <c r="F7" s="24" t="s">
        <v>96</v>
      </c>
      <c r="G7" s="24" t="s">
        <v>98</v>
      </c>
      <c r="H7" s="23" t="s">
        <v>99</v>
      </c>
      <c r="I7" s="22" t="s">
        <v>84</v>
      </c>
      <c r="J7" s="22" t="s">
        <v>95</v>
      </c>
      <c r="K7" s="22">
        <v>-22</v>
      </c>
      <c r="L7" s="22">
        <v>-14</v>
      </c>
      <c r="M7" s="22">
        <v>8</v>
      </c>
      <c r="N7" s="25">
        <f>IF(I7="PROC",0,IF(J7="PR",CONTROL!$C$8,IF(J7="BLDG",CONTROL!$C$9,IF(J7="SLP",CONTROL!$C$10,0))))</f>
        <v>0</v>
      </c>
      <c r="O7" s="22">
        <f t="shared" si="0"/>
        <v>-22</v>
      </c>
      <c r="P7" s="22">
        <f t="shared" si="1"/>
        <v>-14</v>
      </c>
      <c r="Q7" s="23" t="str">
        <f t="shared" si="2"/>
        <v>ON TIME</v>
      </c>
      <c r="R7" s="22">
        <v>9</v>
      </c>
      <c r="S7" s="26">
        <f>CONTROL!$C$6+K7*7</f>
        <v>45928</v>
      </c>
      <c r="T7" s="26">
        <f>CONTROL!$C$6+O7*7</f>
        <v>45928</v>
      </c>
    </row>
    <row r="8" spans="1:20" x14ac:dyDescent="0.4">
      <c r="A8" s="22">
        <v>7</v>
      </c>
      <c r="B8" s="22" t="s">
        <v>84</v>
      </c>
      <c r="C8" s="22"/>
      <c r="D8" s="23" t="s">
        <v>95</v>
      </c>
      <c r="E8" s="24" t="s">
        <v>96</v>
      </c>
      <c r="F8" s="24" t="s">
        <v>96</v>
      </c>
      <c r="G8" s="24" t="s">
        <v>100</v>
      </c>
      <c r="H8" s="23" t="s">
        <v>101</v>
      </c>
      <c r="I8" s="22" t="s">
        <v>84</v>
      </c>
      <c r="J8" s="22" t="s">
        <v>95</v>
      </c>
      <c r="K8" s="22">
        <v>-14</v>
      </c>
      <c r="L8" s="22">
        <v>-6</v>
      </c>
      <c r="M8" s="22">
        <v>8</v>
      </c>
      <c r="N8" s="25">
        <f>IF(I8="PROC",0,IF(J8="PR",CONTROL!$C$8,IF(J8="BLDG",CONTROL!$C$9,IF(J8="SLP",CONTROL!$C$10,0))))</f>
        <v>0</v>
      </c>
      <c r="O8" s="22">
        <f t="shared" si="0"/>
        <v>-14</v>
      </c>
      <c r="P8" s="22">
        <f t="shared" si="1"/>
        <v>-6</v>
      </c>
      <c r="Q8" s="23" t="str">
        <f t="shared" si="2"/>
        <v>ON TIME</v>
      </c>
      <c r="R8" s="22">
        <v>9</v>
      </c>
      <c r="S8" s="26">
        <f>CONTROL!$C$6+K8*7</f>
        <v>45984</v>
      </c>
      <c r="T8" s="26">
        <f>CONTROL!$C$6+O8*7</f>
        <v>45984</v>
      </c>
    </row>
    <row r="9" spans="1:20" x14ac:dyDescent="0.4">
      <c r="A9" s="22">
        <v>8</v>
      </c>
      <c r="B9" s="22" t="s">
        <v>84</v>
      </c>
      <c r="C9" s="22"/>
      <c r="D9" s="23" t="s">
        <v>102</v>
      </c>
      <c r="E9" s="24" t="s">
        <v>103</v>
      </c>
      <c r="F9" s="24" t="s">
        <v>103</v>
      </c>
      <c r="G9" s="24" t="s">
        <v>104</v>
      </c>
      <c r="H9" s="23" t="s">
        <v>105</v>
      </c>
      <c r="I9" s="22" t="s">
        <v>84</v>
      </c>
      <c r="J9" s="22" t="s">
        <v>102</v>
      </c>
      <c r="K9" s="22">
        <v>-18</v>
      </c>
      <c r="L9" s="22">
        <v>-14</v>
      </c>
      <c r="M9" s="22">
        <v>4</v>
      </c>
      <c r="N9" s="25">
        <f>IF(I9="PROC",0,IF(J9="PR",CONTROL!$C$8,IF(J9="BLDG",CONTROL!$C$9,IF(J9="SLP",CONTROL!$C$10,0))))</f>
        <v>0</v>
      </c>
      <c r="O9" s="22">
        <f t="shared" si="0"/>
        <v>-18</v>
      </c>
      <c r="P9" s="22">
        <f t="shared" si="1"/>
        <v>-14</v>
      </c>
      <c r="Q9" s="23" t="str">
        <f t="shared" si="2"/>
        <v>ON TIME</v>
      </c>
      <c r="R9" s="22">
        <v>10</v>
      </c>
      <c r="S9" s="26">
        <f>CONTROL!$C$6+K9*7</f>
        <v>45956</v>
      </c>
      <c r="T9" s="26">
        <f>CONTROL!$C$6+O9*7</f>
        <v>45956</v>
      </c>
    </row>
    <row r="10" spans="1:20" x14ac:dyDescent="0.4">
      <c r="A10" s="22">
        <v>9</v>
      </c>
      <c r="B10" s="22" t="s">
        <v>84</v>
      </c>
      <c r="C10" s="22"/>
      <c r="D10" s="23" t="s">
        <v>102</v>
      </c>
      <c r="E10" s="24" t="s">
        <v>103</v>
      </c>
      <c r="F10" s="24" t="s">
        <v>103</v>
      </c>
      <c r="G10" s="24" t="s">
        <v>106</v>
      </c>
      <c r="H10" s="23" t="s">
        <v>103</v>
      </c>
      <c r="I10" s="22" t="s">
        <v>84</v>
      </c>
      <c r="J10" s="22" t="s">
        <v>102</v>
      </c>
      <c r="K10" s="22">
        <v>-10</v>
      </c>
      <c r="L10" s="22">
        <v>-6</v>
      </c>
      <c r="M10" s="22">
        <v>4</v>
      </c>
      <c r="N10" s="25">
        <f>IF(I10="PROC",0,IF(J10="PR",CONTROL!$C$8,IF(J10="BLDG",CONTROL!$C$9,IF(J10="SLP",CONTROL!$C$10,0))))</f>
        <v>0</v>
      </c>
      <c r="O10" s="22">
        <f t="shared" si="0"/>
        <v>-10</v>
      </c>
      <c r="P10" s="22">
        <f t="shared" si="1"/>
        <v>-6</v>
      </c>
      <c r="Q10" s="23" t="str">
        <f t="shared" si="2"/>
        <v>ON TIME</v>
      </c>
      <c r="R10" s="22">
        <v>10</v>
      </c>
      <c r="S10" s="26">
        <f>CONTROL!$C$6+K10*7</f>
        <v>46012</v>
      </c>
      <c r="T10" s="26">
        <f>CONTROL!$C$6+O10*7</f>
        <v>46012</v>
      </c>
    </row>
    <row r="11" spans="1:20" x14ac:dyDescent="0.4">
      <c r="A11" s="22">
        <v>10</v>
      </c>
      <c r="B11" s="22" t="s">
        <v>84</v>
      </c>
      <c r="C11" s="22"/>
      <c r="D11" s="23" t="s">
        <v>102</v>
      </c>
      <c r="E11" s="24" t="s">
        <v>103</v>
      </c>
      <c r="F11" s="24" t="s">
        <v>103</v>
      </c>
      <c r="G11" s="24" t="s">
        <v>107</v>
      </c>
      <c r="H11" s="23" t="s">
        <v>108</v>
      </c>
      <c r="I11" s="22" t="s">
        <v>84</v>
      </c>
      <c r="J11" s="22" t="s">
        <v>102</v>
      </c>
      <c r="K11" s="22">
        <v>-4</v>
      </c>
      <c r="L11" s="22">
        <v>-2</v>
      </c>
      <c r="M11" s="22">
        <v>2</v>
      </c>
      <c r="N11" s="25">
        <f>IF(I11="PROC",0,IF(J11="PR",CONTROL!$C$8,IF(J11="BLDG",CONTROL!$C$9,IF(J11="SLP",CONTROL!$C$10,0))))</f>
        <v>0</v>
      </c>
      <c r="O11" s="22">
        <f t="shared" si="0"/>
        <v>-4</v>
      </c>
      <c r="P11" s="22">
        <f t="shared" si="1"/>
        <v>-2</v>
      </c>
      <c r="Q11" s="23" t="str">
        <f t="shared" si="2"/>
        <v>ON TIME</v>
      </c>
      <c r="R11" s="22">
        <v>10</v>
      </c>
      <c r="S11" s="26">
        <f>CONTROL!$C$6+K11*7</f>
        <v>46054</v>
      </c>
      <c r="T11" s="26">
        <f>CONTROL!$C$6+O11*7</f>
        <v>46054</v>
      </c>
    </row>
    <row r="12" spans="1:20" x14ac:dyDescent="0.4">
      <c r="A12" s="27">
        <v>11</v>
      </c>
      <c r="B12" s="27" t="s">
        <v>109</v>
      </c>
      <c r="C12" s="27">
        <v>1</v>
      </c>
      <c r="D12" s="27" t="s">
        <v>14</v>
      </c>
      <c r="E12" s="28" t="s">
        <v>15</v>
      </c>
      <c r="F12" s="28" t="s">
        <v>110</v>
      </c>
      <c r="G12" s="28" t="s">
        <v>111</v>
      </c>
      <c r="H12" s="27" t="s">
        <v>112</v>
      </c>
      <c r="I12" s="27" t="s">
        <v>113</v>
      </c>
      <c r="J12" s="27" t="s">
        <v>114</v>
      </c>
      <c r="K12" s="27">
        <v>-16</v>
      </c>
      <c r="L12" s="27">
        <v>-6</v>
      </c>
      <c r="M12" s="27">
        <v>10</v>
      </c>
      <c r="N12" s="29">
        <f>IF(I12="PROC",0,IF(J12="PR",CONTROL!$C$8,IF(J12="BLDG",CONTROL!$C$9,IF(J12="SLP",CONTROL!$C$10,0))))</f>
        <v>0</v>
      </c>
      <c r="O12" s="27">
        <f t="shared" si="0"/>
        <v>-16</v>
      </c>
      <c r="P12" s="27">
        <f t="shared" si="1"/>
        <v>-6</v>
      </c>
      <c r="Q12" s="30" t="str">
        <f t="shared" si="2"/>
        <v>ON TIME</v>
      </c>
      <c r="R12" s="27">
        <v>1</v>
      </c>
      <c r="S12" s="31">
        <f>CONTROL!$C$6+K12*7</f>
        <v>45970</v>
      </c>
      <c r="T12" s="31">
        <f>CONTROL!$C$6+O12*7</f>
        <v>45970</v>
      </c>
    </row>
    <row r="13" spans="1:20" x14ac:dyDescent="0.4">
      <c r="A13" s="27">
        <v>12</v>
      </c>
      <c r="B13" s="27" t="s">
        <v>109</v>
      </c>
      <c r="C13" s="27">
        <v>1</v>
      </c>
      <c r="D13" s="27" t="s">
        <v>14</v>
      </c>
      <c r="E13" s="28" t="s">
        <v>15</v>
      </c>
      <c r="F13" s="28" t="s">
        <v>110</v>
      </c>
      <c r="G13" s="28" t="s">
        <v>52</v>
      </c>
      <c r="H13" s="27" t="s">
        <v>115</v>
      </c>
      <c r="I13" s="27" t="s">
        <v>113</v>
      </c>
      <c r="J13" s="27" t="s">
        <v>114</v>
      </c>
      <c r="K13" s="27">
        <v>-6</v>
      </c>
      <c r="L13" s="27">
        <v>2</v>
      </c>
      <c r="M13" s="27">
        <v>8</v>
      </c>
      <c r="N13" s="29">
        <f>IF(I13="PROC",0,IF(J13="PR",CONTROL!$C$8,IF(J13="BLDG",CONTROL!$C$9,IF(J13="SLP",CONTROL!$C$10,0))))</f>
        <v>0</v>
      </c>
      <c r="O13" s="27">
        <f t="shared" si="0"/>
        <v>-6</v>
      </c>
      <c r="P13" s="27">
        <f t="shared" si="1"/>
        <v>2</v>
      </c>
      <c r="Q13" s="30" t="str">
        <f t="shared" si="2"/>
        <v>ON TIME</v>
      </c>
      <c r="R13" s="27">
        <v>2</v>
      </c>
      <c r="S13" s="31">
        <f>CONTROL!$C$6+K13*7</f>
        <v>46040</v>
      </c>
      <c r="T13" s="31">
        <f>CONTROL!$C$6+O13*7</f>
        <v>46040</v>
      </c>
    </row>
    <row r="14" spans="1:20" x14ac:dyDescent="0.4">
      <c r="A14" s="27">
        <v>13</v>
      </c>
      <c r="B14" s="27" t="s">
        <v>109</v>
      </c>
      <c r="C14" s="27">
        <v>1</v>
      </c>
      <c r="D14" s="27" t="s">
        <v>14</v>
      </c>
      <c r="E14" s="28" t="s">
        <v>15</v>
      </c>
      <c r="F14" s="28" t="s">
        <v>110</v>
      </c>
      <c r="G14" s="28" t="s">
        <v>53</v>
      </c>
      <c r="H14" s="27" t="s">
        <v>116</v>
      </c>
      <c r="I14" s="27" t="s">
        <v>113</v>
      </c>
      <c r="J14" s="27" t="s">
        <v>114</v>
      </c>
      <c r="K14" s="27">
        <v>0</v>
      </c>
      <c r="L14" s="27">
        <v>6</v>
      </c>
      <c r="M14" s="27">
        <v>6</v>
      </c>
      <c r="N14" s="29">
        <f>IF(I14="PROC",0,IF(J14="PR",CONTROL!$C$8,IF(J14="BLDG",CONTROL!$C$9,IF(J14="SLP",CONTROL!$C$10,0))))</f>
        <v>0</v>
      </c>
      <c r="O14" s="27">
        <f t="shared" si="0"/>
        <v>0</v>
      </c>
      <c r="P14" s="27">
        <f t="shared" si="1"/>
        <v>6</v>
      </c>
      <c r="Q14" s="30" t="str">
        <f t="shared" si="2"/>
        <v>ON TIME</v>
      </c>
      <c r="R14" s="27">
        <v>3</v>
      </c>
      <c r="S14" s="31">
        <f>CONTROL!$C$6+K14*7</f>
        <v>46082</v>
      </c>
      <c r="T14" s="31">
        <f>CONTROL!$C$6+O14*7</f>
        <v>46082</v>
      </c>
    </row>
    <row r="15" spans="1:20" x14ac:dyDescent="0.4">
      <c r="A15" s="27">
        <v>14</v>
      </c>
      <c r="B15" s="27" t="s">
        <v>109</v>
      </c>
      <c r="C15" s="27">
        <v>1</v>
      </c>
      <c r="D15" s="27" t="s">
        <v>14</v>
      </c>
      <c r="E15" s="28" t="s">
        <v>15</v>
      </c>
      <c r="F15" s="28" t="s">
        <v>110</v>
      </c>
      <c r="G15" s="28" t="s">
        <v>54</v>
      </c>
      <c r="H15" s="27" t="s">
        <v>117</v>
      </c>
      <c r="I15" s="27" t="s">
        <v>118</v>
      </c>
      <c r="J15" s="27" t="s">
        <v>88</v>
      </c>
      <c r="K15" s="27">
        <v>4</v>
      </c>
      <c r="L15" s="27">
        <v>14</v>
      </c>
      <c r="M15" s="27">
        <v>10</v>
      </c>
      <c r="N15" s="29">
        <f>IF(I15="PROC",0,IF(J15="PR",CONTROL!$C$8,IF(J15="BLDG",CONTROL!$C$9,IF(J15="SLP",CONTROL!$C$10,0))))</f>
        <v>0</v>
      </c>
      <c r="O15" s="27">
        <f t="shared" si="0"/>
        <v>4</v>
      </c>
      <c r="P15" s="27">
        <f t="shared" si="1"/>
        <v>14</v>
      </c>
      <c r="Q15" s="30" t="str">
        <f t="shared" si="2"/>
        <v>ON TIME</v>
      </c>
      <c r="R15" s="27">
        <v>4</v>
      </c>
      <c r="S15" s="31">
        <f>CONTROL!$C$6+K15*7</f>
        <v>46110</v>
      </c>
      <c r="T15" s="31">
        <f>CONTROL!$C$6+O15*7</f>
        <v>46110</v>
      </c>
    </row>
    <row r="16" spans="1:20" x14ac:dyDescent="0.4">
      <c r="A16" s="27">
        <v>15</v>
      </c>
      <c r="B16" s="27" t="s">
        <v>109</v>
      </c>
      <c r="C16" s="27">
        <v>1</v>
      </c>
      <c r="D16" s="27" t="s">
        <v>14</v>
      </c>
      <c r="E16" s="28" t="s">
        <v>15</v>
      </c>
      <c r="F16" s="28" t="s">
        <v>110</v>
      </c>
      <c r="G16" s="28" t="s">
        <v>119</v>
      </c>
      <c r="H16" s="27" t="s">
        <v>120</v>
      </c>
      <c r="I16" s="27" t="s">
        <v>118</v>
      </c>
      <c r="J16" s="27" t="s">
        <v>102</v>
      </c>
      <c r="K16" s="27">
        <v>14</v>
      </c>
      <c r="L16" s="27">
        <v>16</v>
      </c>
      <c r="M16" s="27">
        <v>2</v>
      </c>
      <c r="N16" s="29">
        <f>IF(I16="PROC",0,IF(J16="PR",CONTROL!$C$8,IF(J16="BLDG",CONTROL!$C$9,IF(J16="SLP",CONTROL!$C$10,0))))</f>
        <v>0</v>
      </c>
      <c r="O16" s="27">
        <f t="shared" si="0"/>
        <v>14</v>
      </c>
      <c r="P16" s="27">
        <f t="shared" si="1"/>
        <v>16</v>
      </c>
      <c r="Q16" s="30" t="str">
        <f t="shared" si="2"/>
        <v>ON TIME</v>
      </c>
      <c r="R16" s="27">
        <v>5</v>
      </c>
      <c r="S16" s="31">
        <f>CONTROL!$C$6+K16*7</f>
        <v>46180</v>
      </c>
      <c r="T16" s="31">
        <f>CONTROL!$C$6+O16*7</f>
        <v>46180</v>
      </c>
    </row>
    <row r="17" spans="1:20" x14ac:dyDescent="0.4">
      <c r="A17" s="27">
        <v>16</v>
      </c>
      <c r="B17" s="27" t="s">
        <v>109</v>
      </c>
      <c r="C17" s="27">
        <v>1</v>
      </c>
      <c r="D17" s="27" t="s">
        <v>14</v>
      </c>
      <c r="E17" s="28" t="s">
        <v>15</v>
      </c>
      <c r="F17" s="28" t="s">
        <v>110</v>
      </c>
      <c r="G17" s="28" t="s">
        <v>121</v>
      </c>
      <c r="H17" s="27" t="s">
        <v>122</v>
      </c>
      <c r="I17" s="27" t="s">
        <v>118</v>
      </c>
      <c r="J17" s="27" t="s">
        <v>88</v>
      </c>
      <c r="K17" s="27">
        <v>16</v>
      </c>
      <c r="L17" s="27">
        <v>18</v>
      </c>
      <c r="M17" s="27">
        <v>2</v>
      </c>
      <c r="N17" s="29">
        <f>IF(I17="PROC",0,IF(J17="PR",CONTROL!$C$8,IF(J17="BLDG",CONTROL!$C$9,IF(J17="SLP",CONTROL!$C$10,0))))</f>
        <v>0</v>
      </c>
      <c r="O17" s="27">
        <f t="shared" si="0"/>
        <v>16</v>
      </c>
      <c r="P17" s="27">
        <f t="shared" si="1"/>
        <v>18</v>
      </c>
      <c r="Q17" s="30" t="str">
        <f t="shared" si="2"/>
        <v>ON TIME</v>
      </c>
      <c r="R17" s="27">
        <v>6</v>
      </c>
      <c r="S17" s="31">
        <f>CONTROL!$C$6+K17*7</f>
        <v>46194</v>
      </c>
      <c r="T17" s="31">
        <f>CONTROL!$C$6+O17*7</f>
        <v>46194</v>
      </c>
    </row>
    <row r="18" spans="1:20" x14ac:dyDescent="0.4">
      <c r="A18" s="27">
        <v>17</v>
      </c>
      <c r="B18" s="27" t="s">
        <v>109</v>
      </c>
      <c r="C18" s="27">
        <v>1</v>
      </c>
      <c r="D18" s="27" t="s">
        <v>14</v>
      </c>
      <c r="E18" s="28" t="s">
        <v>15</v>
      </c>
      <c r="F18" s="28" t="s">
        <v>110</v>
      </c>
      <c r="G18" s="28" t="s">
        <v>57</v>
      </c>
      <c r="H18" s="27" t="s">
        <v>123</v>
      </c>
      <c r="I18" s="27" t="s">
        <v>118</v>
      </c>
      <c r="J18" s="27" t="s">
        <v>88</v>
      </c>
      <c r="K18" s="27">
        <v>18</v>
      </c>
      <c r="L18" s="27">
        <v>20</v>
      </c>
      <c r="M18" s="27">
        <v>2</v>
      </c>
      <c r="N18" s="29">
        <f>IF(I18="PROC",0,IF(J18="PR",CONTROL!$C$8,IF(J18="BLDG",CONTROL!$C$9,IF(J18="SLP",CONTROL!$C$10,0))))</f>
        <v>0</v>
      </c>
      <c r="O18" s="27">
        <f t="shared" si="0"/>
        <v>18</v>
      </c>
      <c r="P18" s="27">
        <f t="shared" si="1"/>
        <v>20</v>
      </c>
      <c r="Q18" s="30" t="str">
        <f t="shared" si="2"/>
        <v>ON TIME</v>
      </c>
      <c r="R18" s="27">
        <v>7</v>
      </c>
      <c r="S18" s="31">
        <f>CONTROL!$C$6+K18*7</f>
        <v>46208</v>
      </c>
      <c r="T18" s="31">
        <f>CONTROL!$C$6+O18*7</f>
        <v>46208</v>
      </c>
    </row>
    <row r="19" spans="1:20" x14ac:dyDescent="0.4">
      <c r="A19" s="27">
        <v>18</v>
      </c>
      <c r="B19" s="27" t="s">
        <v>109</v>
      </c>
      <c r="C19" s="27">
        <v>2</v>
      </c>
      <c r="D19" s="27" t="s">
        <v>19</v>
      </c>
      <c r="E19" s="28" t="s">
        <v>20</v>
      </c>
      <c r="F19" s="28" t="s">
        <v>124</v>
      </c>
      <c r="G19" s="28" t="s">
        <v>111</v>
      </c>
      <c r="H19" s="27" t="s">
        <v>112</v>
      </c>
      <c r="I19" s="27" t="s">
        <v>113</v>
      </c>
      <c r="J19" s="27" t="s">
        <v>114</v>
      </c>
      <c r="K19" s="27">
        <v>-14</v>
      </c>
      <c r="L19" s="27">
        <v>-6</v>
      </c>
      <c r="M19" s="27">
        <v>8</v>
      </c>
      <c r="N19" s="29">
        <f>IF(I19="PROC",0,IF(J19="PR",CONTROL!$C$8,IF(J19="BLDG",CONTROL!$C$9,IF(J19="SLP",CONTROL!$C$10,0))))</f>
        <v>0</v>
      </c>
      <c r="O19" s="27">
        <f t="shared" si="0"/>
        <v>-14</v>
      </c>
      <c r="P19" s="27">
        <f t="shared" si="1"/>
        <v>-6</v>
      </c>
      <c r="Q19" s="30" t="str">
        <f t="shared" si="2"/>
        <v>ON TIME</v>
      </c>
      <c r="R19" s="27">
        <v>1</v>
      </c>
      <c r="S19" s="31">
        <f>CONTROL!$C$6+K19*7</f>
        <v>45984</v>
      </c>
      <c r="T19" s="31">
        <f>CONTROL!$C$6+O19*7</f>
        <v>45984</v>
      </c>
    </row>
    <row r="20" spans="1:20" x14ac:dyDescent="0.4">
      <c r="A20" s="27">
        <v>19</v>
      </c>
      <c r="B20" s="27" t="s">
        <v>109</v>
      </c>
      <c r="C20" s="27">
        <v>2</v>
      </c>
      <c r="D20" s="27" t="s">
        <v>19</v>
      </c>
      <c r="E20" s="28" t="s">
        <v>20</v>
      </c>
      <c r="F20" s="28" t="s">
        <v>124</v>
      </c>
      <c r="G20" s="28" t="s">
        <v>52</v>
      </c>
      <c r="H20" s="27" t="s">
        <v>115</v>
      </c>
      <c r="I20" s="27" t="s">
        <v>113</v>
      </c>
      <c r="J20" s="27" t="s">
        <v>114</v>
      </c>
      <c r="K20" s="27">
        <v>-4</v>
      </c>
      <c r="L20" s="27">
        <v>4</v>
      </c>
      <c r="M20" s="27">
        <v>8</v>
      </c>
      <c r="N20" s="29">
        <f>IF(I20="PROC",0,IF(J20="PR",CONTROL!$C$8,IF(J20="BLDG",CONTROL!$C$9,IF(J20="SLP",CONTROL!$C$10,0))))</f>
        <v>0</v>
      </c>
      <c r="O20" s="27">
        <f t="shared" si="0"/>
        <v>-4</v>
      </c>
      <c r="P20" s="27">
        <f t="shared" si="1"/>
        <v>4</v>
      </c>
      <c r="Q20" s="30" t="str">
        <f t="shared" si="2"/>
        <v>ON TIME</v>
      </c>
      <c r="R20" s="27">
        <v>2</v>
      </c>
      <c r="S20" s="31">
        <f>CONTROL!$C$6+K20*7</f>
        <v>46054</v>
      </c>
      <c r="T20" s="31">
        <f>CONTROL!$C$6+O20*7</f>
        <v>46054</v>
      </c>
    </row>
    <row r="21" spans="1:20" x14ac:dyDescent="0.4">
      <c r="A21" s="27">
        <v>20</v>
      </c>
      <c r="B21" s="27" t="s">
        <v>109</v>
      </c>
      <c r="C21" s="27">
        <v>2</v>
      </c>
      <c r="D21" s="27" t="s">
        <v>19</v>
      </c>
      <c r="E21" s="28" t="s">
        <v>20</v>
      </c>
      <c r="F21" s="28" t="s">
        <v>124</v>
      </c>
      <c r="G21" s="28" t="s">
        <v>53</v>
      </c>
      <c r="H21" s="27" t="s">
        <v>116</v>
      </c>
      <c r="I21" s="27" t="s">
        <v>113</v>
      </c>
      <c r="J21" s="27" t="s">
        <v>114</v>
      </c>
      <c r="K21" s="27">
        <v>0</v>
      </c>
      <c r="L21" s="27">
        <v>6</v>
      </c>
      <c r="M21" s="27">
        <v>6</v>
      </c>
      <c r="N21" s="29">
        <f>IF(I21="PROC",0,IF(J21="PR",CONTROL!$C$8,IF(J21="BLDG",CONTROL!$C$9,IF(J21="SLP",CONTROL!$C$10,0))))</f>
        <v>0</v>
      </c>
      <c r="O21" s="27">
        <f t="shared" si="0"/>
        <v>0</v>
      </c>
      <c r="P21" s="27">
        <f t="shared" si="1"/>
        <v>6</v>
      </c>
      <c r="Q21" s="30" t="str">
        <f t="shared" si="2"/>
        <v>ON TIME</v>
      </c>
      <c r="R21" s="27">
        <v>3</v>
      </c>
      <c r="S21" s="31">
        <f>CONTROL!$C$6+K21*7</f>
        <v>46082</v>
      </c>
      <c r="T21" s="31">
        <f>CONTROL!$C$6+O21*7</f>
        <v>46082</v>
      </c>
    </row>
    <row r="22" spans="1:20" x14ac:dyDescent="0.4">
      <c r="A22" s="27">
        <v>21</v>
      </c>
      <c r="B22" s="27" t="s">
        <v>109</v>
      </c>
      <c r="C22" s="27">
        <v>2</v>
      </c>
      <c r="D22" s="27" t="s">
        <v>19</v>
      </c>
      <c r="E22" s="28" t="s">
        <v>20</v>
      </c>
      <c r="F22" s="28" t="s">
        <v>124</v>
      </c>
      <c r="G22" s="28" t="s">
        <v>54</v>
      </c>
      <c r="H22" s="27" t="s">
        <v>117</v>
      </c>
      <c r="I22" s="27" t="s">
        <v>118</v>
      </c>
      <c r="J22" s="27" t="s">
        <v>95</v>
      </c>
      <c r="K22" s="27">
        <v>4</v>
      </c>
      <c r="L22" s="27">
        <v>12</v>
      </c>
      <c r="M22" s="27">
        <v>8</v>
      </c>
      <c r="N22" s="29">
        <f>IF(I22="PROC",0,IF(J22="PR",CONTROL!$C$8,IF(J22="BLDG",CONTROL!$C$9,IF(J22="SLP",CONTROL!$C$10,0))))</f>
        <v>0</v>
      </c>
      <c r="O22" s="27">
        <f t="shared" si="0"/>
        <v>4</v>
      </c>
      <c r="P22" s="27">
        <f t="shared" si="1"/>
        <v>12</v>
      </c>
      <c r="Q22" s="30" t="str">
        <f t="shared" si="2"/>
        <v>ON TIME</v>
      </c>
      <c r="R22" s="27">
        <v>4</v>
      </c>
      <c r="S22" s="31">
        <f>CONTROL!$C$6+K22*7</f>
        <v>46110</v>
      </c>
      <c r="T22" s="31">
        <f>CONTROL!$C$6+O22*7</f>
        <v>46110</v>
      </c>
    </row>
    <row r="23" spans="1:20" x14ac:dyDescent="0.4">
      <c r="A23" s="27">
        <v>22</v>
      </c>
      <c r="B23" s="27" t="s">
        <v>109</v>
      </c>
      <c r="C23" s="27">
        <v>2</v>
      </c>
      <c r="D23" s="27" t="s">
        <v>19</v>
      </c>
      <c r="E23" s="28" t="s">
        <v>20</v>
      </c>
      <c r="F23" s="28" t="s">
        <v>124</v>
      </c>
      <c r="G23" s="28" t="s">
        <v>119</v>
      </c>
      <c r="H23" s="27" t="s">
        <v>120</v>
      </c>
      <c r="I23" s="27" t="s">
        <v>118</v>
      </c>
      <c r="J23" s="27" t="s">
        <v>102</v>
      </c>
      <c r="K23" s="27">
        <v>12</v>
      </c>
      <c r="L23" s="27">
        <v>14</v>
      </c>
      <c r="M23" s="27">
        <v>2</v>
      </c>
      <c r="N23" s="29">
        <f>IF(I23="PROC",0,IF(J23="PR",CONTROL!$C$8,IF(J23="BLDG",CONTROL!$C$9,IF(J23="SLP",CONTROL!$C$10,0))))</f>
        <v>0</v>
      </c>
      <c r="O23" s="27">
        <f t="shared" si="0"/>
        <v>12</v>
      </c>
      <c r="P23" s="27">
        <f t="shared" si="1"/>
        <v>14</v>
      </c>
      <c r="Q23" s="30" t="str">
        <f t="shared" si="2"/>
        <v>ON TIME</v>
      </c>
      <c r="R23" s="27">
        <v>5</v>
      </c>
      <c r="S23" s="31">
        <f>CONTROL!$C$6+K23*7</f>
        <v>46166</v>
      </c>
      <c r="T23" s="31">
        <f>CONTROL!$C$6+O23*7</f>
        <v>46166</v>
      </c>
    </row>
    <row r="24" spans="1:20" x14ac:dyDescent="0.4">
      <c r="A24" s="27">
        <v>23</v>
      </c>
      <c r="B24" s="27" t="s">
        <v>109</v>
      </c>
      <c r="C24" s="27">
        <v>2</v>
      </c>
      <c r="D24" s="27" t="s">
        <v>19</v>
      </c>
      <c r="E24" s="28" t="s">
        <v>20</v>
      </c>
      <c r="F24" s="28" t="s">
        <v>124</v>
      </c>
      <c r="G24" s="28" t="s">
        <v>125</v>
      </c>
      <c r="H24" s="27" t="s">
        <v>122</v>
      </c>
      <c r="I24" s="27" t="s">
        <v>118</v>
      </c>
      <c r="J24" s="27" t="s">
        <v>95</v>
      </c>
      <c r="K24" s="27">
        <v>14</v>
      </c>
      <c r="L24" s="27">
        <v>16</v>
      </c>
      <c r="M24" s="27">
        <v>2</v>
      </c>
      <c r="N24" s="29">
        <f>IF(I24="PROC",0,IF(J24="PR",CONTROL!$C$8,IF(J24="BLDG",CONTROL!$C$9,IF(J24="SLP",CONTROL!$C$10,0))))</f>
        <v>0</v>
      </c>
      <c r="O24" s="27">
        <f t="shared" si="0"/>
        <v>14</v>
      </c>
      <c r="P24" s="27">
        <f t="shared" si="1"/>
        <v>16</v>
      </c>
      <c r="Q24" s="30" t="str">
        <f t="shared" si="2"/>
        <v>ON TIME</v>
      </c>
      <c r="R24" s="27">
        <v>6</v>
      </c>
      <c r="S24" s="31">
        <f>CONTROL!$C$6+K24*7</f>
        <v>46180</v>
      </c>
      <c r="T24" s="31">
        <f>CONTROL!$C$6+O24*7</f>
        <v>46180</v>
      </c>
    </row>
    <row r="25" spans="1:20" x14ac:dyDescent="0.4">
      <c r="A25" s="27">
        <v>24</v>
      </c>
      <c r="B25" s="27" t="s">
        <v>109</v>
      </c>
      <c r="C25" s="27">
        <v>2</v>
      </c>
      <c r="D25" s="27" t="s">
        <v>19</v>
      </c>
      <c r="E25" s="28" t="s">
        <v>20</v>
      </c>
      <c r="F25" s="28" t="s">
        <v>124</v>
      </c>
      <c r="G25" s="28" t="s">
        <v>57</v>
      </c>
      <c r="H25" s="27" t="s">
        <v>123</v>
      </c>
      <c r="I25" s="27" t="s">
        <v>118</v>
      </c>
      <c r="J25" s="27" t="s">
        <v>95</v>
      </c>
      <c r="K25" s="27">
        <v>16</v>
      </c>
      <c r="L25" s="27">
        <v>18</v>
      </c>
      <c r="M25" s="27">
        <v>2</v>
      </c>
      <c r="N25" s="29">
        <f>IF(I25="PROC",0,IF(J25="PR",CONTROL!$C$8,IF(J25="BLDG",CONTROL!$C$9,IF(J25="SLP",CONTROL!$C$10,0))))</f>
        <v>0</v>
      </c>
      <c r="O25" s="27">
        <f t="shared" si="0"/>
        <v>16</v>
      </c>
      <c r="P25" s="27">
        <f t="shared" si="1"/>
        <v>18</v>
      </c>
      <c r="Q25" s="30" t="str">
        <f t="shared" si="2"/>
        <v>ON TIME</v>
      </c>
      <c r="R25" s="27">
        <v>7</v>
      </c>
      <c r="S25" s="31">
        <f>CONTROL!$C$6+K25*7</f>
        <v>46194</v>
      </c>
      <c r="T25" s="31">
        <f>CONTROL!$C$6+O25*7</f>
        <v>46194</v>
      </c>
    </row>
    <row r="26" spans="1:20" x14ac:dyDescent="0.4">
      <c r="A26" s="27">
        <v>25</v>
      </c>
      <c r="B26" s="27" t="s">
        <v>109</v>
      </c>
      <c r="C26" s="27">
        <v>3</v>
      </c>
      <c r="D26" s="27" t="s">
        <v>23</v>
      </c>
      <c r="E26" s="28" t="s">
        <v>24</v>
      </c>
      <c r="F26" s="28" t="s">
        <v>126</v>
      </c>
      <c r="G26" s="28" t="s">
        <v>111</v>
      </c>
      <c r="H26" s="27" t="s">
        <v>112</v>
      </c>
      <c r="I26" s="27" t="s">
        <v>113</v>
      </c>
      <c r="J26" s="27" t="s">
        <v>114</v>
      </c>
      <c r="K26" s="27">
        <v>-14</v>
      </c>
      <c r="L26" s="27">
        <v>-6</v>
      </c>
      <c r="M26" s="27">
        <v>8</v>
      </c>
      <c r="N26" s="29">
        <f>IF(I26="PROC",0,IF(J26="PR",CONTROL!$C$8,IF(J26="BLDG",CONTROL!$C$9,IF(J26="SLP",CONTROL!$C$10,0))))</f>
        <v>0</v>
      </c>
      <c r="O26" s="27">
        <f t="shared" si="0"/>
        <v>-14</v>
      </c>
      <c r="P26" s="27">
        <f t="shared" si="1"/>
        <v>-6</v>
      </c>
      <c r="Q26" s="30" t="str">
        <f t="shared" si="2"/>
        <v>ON TIME</v>
      </c>
      <c r="R26" s="27">
        <v>1</v>
      </c>
      <c r="S26" s="31">
        <f>CONTROL!$C$6+K26*7</f>
        <v>45984</v>
      </c>
      <c r="T26" s="31">
        <f>CONTROL!$C$6+O26*7</f>
        <v>45984</v>
      </c>
    </row>
    <row r="27" spans="1:20" x14ac:dyDescent="0.4">
      <c r="A27" s="27">
        <v>26</v>
      </c>
      <c r="B27" s="27" t="s">
        <v>109</v>
      </c>
      <c r="C27" s="27">
        <v>3</v>
      </c>
      <c r="D27" s="27" t="s">
        <v>23</v>
      </c>
      <c r="E27" s="28" t="s">
        <v>24</v>
      </c>
      <c r="F27" s="28" t="s">
        <v>126</v>
      </c>
      <c r="G27" s="28" t="s">
        <v>127</v>
      </c>
      <c r="H27" s="27" t="s">
        <v>115</v>
      </c>
      <c r="I27" s="27" t="s">
        <v>113</v>
      </c>
      <c r="J27" s="27" t="s">
        <v>114</v>
      </c>
      <c r="K27" s="27">
        <v>-4</v>
      </c>
      <c r="L27" s="27">
        <v>4</v>
      </c>
      <c r="M27" s="27">
        <v>8</v>
      </c>
      <c r="N27" s="29">
        <f>IF(I27="PROC",0,IF(J27="PR",CONTROL!$C$8,IF(J27="BLDG",CONTROL!$C$9,IF(J27="SLP",CONTROL!$C$10,0))))</f>
        <v>0</v>
      </c>
      <c r="O27" s="27">
        <f t="shared" si="0"/>
        <v>-4</v>
      </c>
      <c r="P27" s="27">
        <f t="shared" si="1"/>
        <v>4</v>
      </c>
      <c r="Q27" s="30" t="str">
        <f t="shared" si="2"/>
        <v>ON TIME</v>
      </c>
      <c r="R27" s="27">
        <v>2</v>
      </c>
      <c r="S27" s="31">
        <f>CONTROL!$C$6+K27*7</f>
        <v>46054</v>
      </c>
      <c r="T27" s="31">
        <f>CONTROL!$C$6+O27*7</f>
        <v>46054</v>
      </c>
    </row>
    <row r="28" spans="1:20" x14ac:dyDescent="0.4">
      <c r="A28" s="27">
        <v>27</v>
      </c>
      <c r="B28" s="27" t="s">
        <v>109</v>
      </c>
      <c r="C28" s="27">
        <v>3</v>
      </c>
      <c r="D28" s="27" t="s">
        <v>23</v>
      </c>
      <c r="E28" s="28" t="s">
        <v>24</v>
      </c>
      <c r="F28" s="28" t="s">
        <v>126</v>
      </c>
      <c r="G28" s="28" t="s">
        <v>128</v>
      </c>
      <c r="H28" s="27" t="s">
        <v>116</v>
      </c>
      <c r="I28" s="27" t="s">
        <v>113</v>
      </c>
      <c r="J28" s="27" t="s">
        <v>114</v>
      </c>
      <c r="K28" s="27">
        <v>-2</v>
      </c>
      <c r="L28" s="27">
        <v>4</v>
      </c>
      <c r="M28" s="27">
        <v>6</v>
      </c>
      <c r="N28" s="29">
        <f>IF(I28="PROC",0,IF(J28="PR",CONTROL!$C$8,IF(J28="BLDG",CONTROL!$C$9,IF(J28="SLP",CONTROL!$C$10,0))))</f>
        <v>0</v>
      </c>
      <c r="O28" s="27">
        <f t="shared" si="0"/>
        <v>-2</v>
      </c>
      <c r="P28" s="27">
        <f t="shared" si="1"/>
        <v>4</v>
      </c>
      <c r="Q28" s="30" t="str">
        <f t="shared" si="2"/>
        <v>ON TIME</v>
      </c>
      <c r="R28" s="27">
        <v>3</v>
      </c>
      <c r="S28" s="31">
        <f>CONTROL!$C$6+K28*7</f>
        <v>46068</v>
      </c>
      <c r="T28" s="31">
        <f>CONTROL!$C$6+O28*7</f>
        <v>46068</v>
      </c>
    </row>
    <row r="29" spans="1:20" x14ac:dyDescent="0.4">
      <c r="A29" s="27">
        <v>28</v>
      </c>
      <c r="B29" s="27" t="s">
        <v>109</v>
      </c>
      <c r="C29" s="27">
        <v>3</v>
      </c>
      <c r="D29" s="27" t="s">
        <v>23</v>
      </c>
      <c r="E29" s="28" t="s">
        <v>24</v>
      </c>
      <c r="F29" s="28" t="s">
        <v>126</v>
      </c>
      <c r="G29" s="28" t="s">
        <v>54</v>
      </c>
      <c r="H29" s="27" t="s">
        <v>117</v>
      </c>
      <c r="I29" s="27" t="s">
        <v>118</v>
      </c>
      <c r="J29" s="27" t="s">
        <v>88</v>
      </c>
      <c r="K29" s="27">
        <v>4</v>
      </c>
      <c r="L29" s="27">
        <v>12</v>
      </c>
      <c r="M29" s="27">
        <v>8</v>
      </c>
      <c r="N29" s="29">
        <f>IF(I29="PROC",0,IF(J29="PR",CONTROL!$C$8,IF(J29="BLDG",CONTROL!$C$9,IF(J29="SLP",CONTROL!$C$10,0))))</f>
        <v>0</v>
      </c>
      <c r="O29" s="27">
        <f t="shared" si="0"/>
        <v>4</v>
      </c>
      <c r="P29" s="27">
        <f t="shared" si="1"/>
        <v>12</v>
      </c>
      <c r="Q29" s="30" t="str">
        <f t="shared" si="2"/>
        <v>ON TIME</v>
      </c>
      <c r="R29" s="27">
        <v>4</v>
      </c>
      <c r="S29" s="31">
        <f>CONTROL!$C$6+K29*7</f>
        <v>46110</v>
      </c>
      <c r="T29" s="31">
        <f>CONTROL!$C$6+O29*7</f>
        <v>46110</v>
      </c>
    </row>
    <row r="30" spans="1:20" x14ac:dyDescent="0.4">
      <c r="A30" s="27">
        <v>29</v>
      </c>
      <c r="B30" s="27" t="s">
        <v>109</v>
      </c>
      <c r="C30" s="27">
        <v>3</v>
      </c>
      <c r="D30" s="27" t="s">
        <v>23</v>
      </c>
      <c r="E30" s="28" t="s">
        <v>24</v>
      </c>
      <c r="F30" s="28" t="s">
        <v>126</v>
      </c>
      <c r="G30" s="28" t="s">
        <v>119</v>
      </c>
      <c r="H30" s="27" t="s">
        <v>120</v>
      </c>
      <c r="I30" s="27" t="s">
        <v>118</v>
      </c>
      <c r="J30" s="27" t="s">
        <v>102</v>
      </c>
      <c r="K30" s="27">
        <v>12</v>
      </c>
      <c r="L30" s="27">
        <v>14</v>
      </c>
      <c r="M30" s="27">
        <v>2</v>
      </c>
      <c r="N30" s="29">
        <f>IF(I30="PROC",0,IF(J30="PR",CONTROL!$C$8,IF(J30="BLDG",CONTROL!$C$9,IF(J30="SLP",CONTROL!$C$10,0))))</f>
        <v>0</v>
      </c>
      <c r="O30" s="27">
        <f t="shared" si="0"/>
        <v>12</v>
      </c>
      <c r="P30" s="27">
        <f t="shared" si="1"/>
        <v>14</v>
      </c>
      <c r="Q30" s="30" t="str">
        <f t="shared" si="2"/>
        <v>ON TIME</v>
      </c>
      <c r="R30" s="27">
        <v>5</v>
      </c>
      <c r="S30" s="31">
        <f>CONTROL!$C$6+K30*7</f>
        <v>46166</v>
      </c>
      <c r="T30" s="31">
        <f>CONTROL!$C$6+O30*7</f>
        <v>46166</v>
      </c>
    </row>
    <row r="31" spans="1:20" x14ac:dyDescent="0.4">
      <c r="A31" s="27">
        <v>30</v>
      </c>
      <c r="B31" s="27" t="s">
        <v>109</v>
      </c>
      <c r="C31" s="27">
        <v>3</v>
      </c>
      <c r="D31" s="27" t="s">
        <v>23</v>
      </c>
      <c r="E31" s="28" t="s">
        <v>24</v>
      </c>
      <c r="F31" s="28" t="s">
        <v>126</v>
      </c>
      <c r="G31" s="28" t="s">
        <v>125</v>
      </c>
      <c r="H31" s="27" t="s">
        <v>122</v>
      </c>
      <c r="I31" s="27" t="s">
        <v>118</v>
      </c>
      <c r="J31" s="27" t="s">
        <v>88</v>
      </c>
      <c r="K31" s="27">
        <v>14</v>
      </c>
      <c r="L31" s="27">
        <v>16</v>
      </c>
      <c r="M31" s="27">
        <v>2</v>
      </c>
      <c r="N31" s="29">
        <f>IF(I31="PROC",0,IF(J31="PR",CONTROL!$C$8,IF(J31="BLDG",CONTROL!$C$9,IF(J31="SLP",CONTROL!$C$10,0))))</f>
        <v>0</v>
      </c>
      <c r="O31" s="27">
        <f t="shared" si="0"/>
        <v>14</v>
      </c>
      <c r="P31" s="27">
        <f t="shared" si="1"/>
        <v>16</v>
      </c>
      <c r="Q31" s="30" t="str">
        <f t="shared" si="2"/>
        <v>ON TIME</v>
      </c>
      <c r="R31" s="27">
        <v>6</v>
      </c>
      <c r="S31" s="31">
        <f>CONTROL!$C$6+K31*7</f>
        <v>46180</v>
      </c>
      <c r="T31" s="31">
        <f>CONTROL!$C$6+O31*7</f>
        <v>46180</v>
      </c>
    </row>
    <row r="32" spans="1:20" x14ac:dyDescent="0.4">
      <c r="A32" s="27">
        <v>31</v>
      </c>
      <c r="B32" s="27" t="s">
        <v>109</v>
      </c>
      <c r="C32" s="27">
        <v>3</v>
      </c>
      <c r="D32" s="27" t="s">
        <v>23</v>
      </c>
      <c r="E32" s="28" t="s">
        <v>24</v>
      </c>
      <c r="F32" s="28" t="s">
        <v>126</v>
      </c>
      <c r="G32" s="28" t="s">
        <v>57</v>
      </c>
      <c r="H32" s="27" t="s">
        <v>123</v>
      </c>
      <c r="I32" s="27" t="s">
        <v>118</v>
      </c>
      <c r="J32" s="27" t="s">
        <v>88</v>
      </c>
      <c r="K32" s="27">
        <v>16</v>
      </c>
      <c r="L32" s="27">
        <v>18</v>
      </c>
      <c r="M32" s="27">
        <v>2</v>
      </c>
      <c r="N32" s="29">
        <f>IF(I32="PROC",0,IF(J32="PR",CONTROL!$C$8,IF(J32="BLDG",CONTROL!$C$9,IF(J32="SLP",CONTROL!$C$10,0))))</f>
        <v>0</v>
      </c>
      <c r="O32" s="27">
        <f t="shared" si="0"/>
        <v>16</v>
      </c>
      <c r="P32" s="27">
        <f t="shared" si="1"/>
        <v>18</v>
      </c>
      <c r="Q32" s="30" t="str">
        <f t="shared" si="2"/>
        <v>ON TIME</v>
      </c>
      <c r="R32" s="27">
        <v>7</v>
      </c>
      <c r="S32" s="31">
        <f>CONTROL!$C$6+K32*7</f>
        <v>46194</v>
      </c>
      <c r="T32" s="31">
        <f>CONTROL!$C$6+O32*7</f>
        <v>46194</v>
      </c>
    </row>
    <row r="33" spans="1:20" x14ac:dyDescent="0.4">
      <c r="A33" s="27">
        <v>32</v>
      </c>
      <c r="B33" s="27" t="s">
        <v>109</v>
      </c>
      <c r="C33" s="27">
        <v>4</v>
      </c>
      <c r="D33" s="27" t="s">
        <v>28</v>
      </c>
      <c r="E33" s="28" t="s">
        <v>29</v>
      </c>
      <c r="F33" s="28" t="s">
        <v>129</v>
      </c>
      <c r="G33" s="28" t="s">
        <v>111</v>
      </c>
      <c r="H33" s="27" t="s">
        <v>112</v>
      </c>
      <c r="I33" s="27" t="s">
        <v>113</v>
      </c>
      <c r="J33" s="27" t="s">
        <v>114</v>
      </c>
      <c r="K33" s="27">
        <v>-12</v>
      </c>
      <c r="L33" s="27">
        <v>-4</v>
      </c>
      <c r="M33" s="27">
        <v>8</v>
      </c>
      <c r="N33" s="29">
        <f>IF(I33="PROC",0,IF(J33="PR",CONTROL!$C$8,IF(J33="BLDG",CONTROL!$C$9,IF(J33="SLP",CONTROL!$C$10,0))))</f>
        <v>0</v>
      </c>
      <c r="O33" s="27">
        <f t="shared" si="0"/>
        <v>-12</v>
      </c>
      <c r="P33" s="27">
        <f t="shared" si="1"/>
        <v>-4</v>
      </c>
      <c r="Q33" s="30" t="str">
        <f t="shared" si="2"/>
        <v>ON TIME</v>
      </c>
      <c r="R33" s="27">
        <v>1</v>
      </c>
      <c r="S33" s="31">
        <f>CONTROL!$C$6+K33*7</f>
        <v>45998</v>
      </c>
      <c r="T33" s="31">
        <f>CONTROL!$C$6+O33*7</f>
        <v>45998</v>
      </c>
    </row>
    <row r="34" spans="1:20" x14ac:dyDescent="0.4">
      <c r="A34" s="27">
        <v>33</v>
      </c>
      <c r="B34" s="27" t="s">
        <v>109</v>
      </c>
      <c r="C34" s="27">
        <v>4</v>
      </c>
      <c r="D34" s="27" t="s">
        <v>28</v>
      </c>
      <c r="E34" s="28" t="s">
        <v>29</v>
      </c>
      <c r="F34" s="28" t="s">
        <v>129</v>
      </c>
      <c r="G34" s="28" t="s">
        <v>130</v>
      </c>
      <c r="H34" s="27" t="s">
        <v>115</v>
      </c>
      <c r="I34" s="27" t="s">
        <v>113</v>
      </c>
      <c r="J34" s="27" t="s">
        <v>114</v>
      </c>
      <c r="K34" s="27">
        <v>-2</v>
      </c>
      <c r="L34" s="27">
        <v>6</v>
      </c>
      <c r="M34" s="27">
        <v>8</v>
      </c>
      <c r="N34" s="29">
        <f>IF(I34="PROC",0,IF(J34="PR",CONTROL!$C$8,IF(J34="BLDG",CONTROL!$C$9,IF(J34="SLP",CONTROL!$C$10,0))))</f>
        <v>0</v>
      </c>
      <c r="O34" s="27">
        <f t="shared" ref="O34:O65" si="3">K34+N34</f>
        <v>-2</v>
      </c>
      <c r="P34" s="27">
        <f t="shared" ref="P34:P65" si="4">L34+N34</f>
        <v>6</v>
      </c>
      <c r="Q34" s="30" t="str">
        <f t="shared" ref="Q34:Q65" si="5">IF(N34&gt;0,"DELAYED","ON TIME")</f>
        <v>ON TIME</v>
      </c>
      <c r="R34" s="27">
        <v>2</v>
      </c>
      <c r="S34" s="31">
        <f>CONTROL!$C$6+K34*7</f>
        <v>46068</v>
      </c>
      <c r="T34" s="31">
        <f>CONTROL!$C$6+O34*7</f>
        <v>46068</v>
      </c>
    </row>
    <row r="35" spans="1:20" x14ac:dyDescent="0.4">
      <c r="A35" s="27">
        <v>34</v>
      </c>
      <c r="B35" s="27" t="s">
        <v>109</v>
      </c>
      <c r="C35" s="27">
        <v>4</v>
      </c>
      <c r="D35" s="27" t="s">
        <v>28</v>
      </c>
      <c r="E35" s="28" t="s">
        <v>29</v>
      </c>
      <c r="F35" s="28" t="s">
        <v>129</v>
      </c>
      <c r="G35" s="28" t="s">
        <v>53</v>
      </c>
      <c r="H35" s="27" t="s">
        <v>116</v>
      </c>
      <c r="I35" s="27" t="s">
        <v>113</v>
      </c>
      <c r="J35" s="27" t="s">
        <v>114</v>
      </c>
      <c r="K35" s="27">
        <v>2</v>
      </c>
      <c r="L35" s="27">
        <v>8</v>
      </c>
      <c r="M35" s="27">
        <v>6</v>
      </c>
      <c r="N35" s="29">
        <f>IF(I35="PROC",0,IF(J35="PR",CONTROL!$C$8,IF(J35="BLDG",CONTROL!$C$9,IF(J35="SLP",CONTROL!$C$10,0))))</f>
        <v>0</v>
      </c>
      <c r="O35" s="27">
        <f t="shared" si="3"/>
        <v>2</v>
      </c>
      <c r="P35" s="27">
        <f t="shared" si="4"/>
        <v>8</v>
      </c>
      <c r="Q35" s="30" t="str">
        <f t="shared" si="5"/>
        <v>ON TIME</v>
      </c>
      <c r="R35" s="27">
        <v>3</v>
      </c>
      <c r="S35" s="31">
        <f>CONTROL!$C$6+K35*7</f>
        <v>46096</v>
      </c>
      <c r="T35" s="31">
        <f>CONTROL!$C$6+O35*7</f>
        <v>46096</v>
      </c>
    </row>
    <row r="36" spans="1:20" x14ac:dyDescent="0.4">
      <c r="A36" s="27">
        <v>35</v>
      </c>
      <c r="B36" s="27" t="s">
        <v>109</v>
      </c>
      <c r="C36" s="27">
        <v>4</v>
      </c>
      <c r="D36" s="27" t="s">
        <v>28</v>
      </c>
      <c r="E36" s="28" t="s">
        <v>29</v>
      </c>
      <c r="F36" s="28" t="s">
        <v>129</v>
      </c>
      <c r="G36" s="28" t="s">
        <v>54</v>
      </c>
      <c r="H36" s="27" t="s">
        <v>117</v>
      </c>
      <c r="I36" s="27" t="s">
        <v>118</v>
      </c>
      <c r="J36" s="27" t="s">
        <v>88</v>
      </c>
      <c r="K36" s="27">
        <v>6</v>
      </c>
      <c r="L36" s="27">
        <v>14</v>
      </c>
      <c r="M36" s="27">
        <v>8</v>
      </c>
      <c r="N36" s="29">
        <f>IF(I36="PROC",0,IF(J36="PR",CONTROL!$C$8,IF(J36="BLDG",CONTROL!$C$9,IF(J36="SLP",CONTROL!$C$10,0))))</f>
        <v>0</v>
      </c>
      <c r="O36" s="27">
        <f t="shared" si="3"/>
        <v>6</v>
      </c>
      <c r="P36" s="27">
        <f t="shared" si="4"/>
        <v>14</v>
      </c>
      <c r="Q36" s="30" t="str">
        <f t="shared" si="5"/>
        <v>ON TIME</v>
      </c>
      <c r="R36" s="27">
        <v>4</v>
      </c>
      <c r="S36" s="31">
        <f>CONTROL!$C$6+K36*7</f>
        <v>46124</v>
      </c>
      <c r="T36" s="31">
        <f>CONTROL!$C$6+O36*7</f>
        <v>46124</v>
      </c>
    </row>
    <row r="37" spans="1:20" x14ac:dyDescent="0.4">
      <c r="A37" s="27">
        <v>36</v>
      </c>
      <c r="B37" s="27" t="s">
        <v>109</v>
      </c>
      <c r="C37" s="27">
        <v>4</v>
      </c>
      <c r="D37" s="27" t="s">
        <v>28</v>
      </c>
      <c r="E37" s="28" t="s">
        <v>29</v>
      </c>
      <c r="F37" s="28" t="s">
        <v>129</v>
      </c>
      <c r="G37" s="28" t="s">
        <v>119</v>
      </c>
      <c r="H37" s="27" t="s">
        <v>120</v>
      </c>
      <c r="I37" s="27" t="s">
        <v>118</v>
      </c>
      <c r="J37" s="27" t="s">
        <v>102</v>
      </c>
      <c r="K37" s="27">
        <v>14</v>
      </c>
      <c r="L37" s="27">
        <v>16</v>
      </c>
      <c r="M37" s="27">
        <v>2</v>
      </c>
      <c r="N37" s="29">
        <f>IF(I37="PROC",0,IF(J37="PR",CONTROL!$C$8,IF(J37="BLDG",CONTROL!$C$9,IF(J37="SLP",CONTROL!$C$10,0))))</f>
        <v>0</v>
      </c>
      <c r="O37" s="27">
        <f t="shared" si="3"/>
        <v>14</v>
      </c>
      <c r="P37" s="27">
        <f t="shared" si="4"/>
        <v>16</v>
      </c>
      <c r="Q37" s="30" t="str">
        <f t="shared" si="5"/>
        <v>ON TIME</v>
      </c>
      <c r="R37" s="27">
        <v>5</v>
      </c>
      <c r="S37" s="31">
        <f>CONTROL!$C$6+K37*7</f>
        <v>46180</v>
      </c>
      <c r="T37" s="31">
        <f>CONTROL!$C$6+O37*7</f>
        <v>46180</v>
      </c>
    </row>
    <row r="38" spans="1:20" x14ac:dyDescent="0.4">
      <c r="A38" s="27">
        <v>37</v>
      </c>
      <c r="B38" s="27" t="s">
        <v>109</v>
      </c>
      <c r="C38" s="27">
        <v>4</v>
      </c>
      <c r="D38" s="27" t="s">
        <v>28</v>
      </c>
      <c r="E38" s="28" t="s">
        <v>29</v>
      </c>
      <c r="F38" s="28" t="s">
        <v>129</v>
      </c>
      <c r="G38" s="28" t="s">
        <v>125</v>
      </c>
      <c r="H38" s="27" t="s">
        <v>122</v>
      </c>
      <c r="I38" s="27" t="s">
        <v>118</v>
      </c>
      <c r="J38" s="27" t="s">
        <v>88</v>
      </c>
      <c r="K38" s="27">
        <v>16</v>
      </c>
      <c r="L38" s="27">
        <v>18</v>
      </c>
      <c r="M38" s="27">
        <v>2</v>
      </c>
      <c r="N38" s="29">
        <f>IF(I38="PROC",0,IF(J38="PR",CONTROL!$C$8,IF(J38="BLDG",CONTROL!$C$9,IF(J38="SLP",CONTROL!$C$10,0))))</f>
        <v>0</v>
      </c>
      <c r="O38" s="27">
        <f t="shared" si="3"/>
        <v>16</v>
      </c>
      <c r="P38" s="27">
        <f t="shared" si="4"/>
        <v>18</v>
      </c>
      <c r="Q38" s="30" t="str">
        <f t="shared" si="5"/>
        <v>ON TIME</v>
      </c>
      <c r="R38" s="27">
        <v>6</v>
      </c>
      <c r="S38" s="31">
        <f>CONTROL!$C$6+K38*7</f>
        <v>46194</v>
      </c>
      <c r="T38" s="31">
        <f>CONTROL!$C$6+O38*7</f>
        <v>46194</v>
      </c>
    </row>
    <row r="39" spans="1:20" x14ac:dyDescent="0.4">
      <c r="A39" s="27">
        <v>38</v>
      </c>
      <c r="B39" s="27" t="s">
        <v>109</v>
      </c>
      <c r="C39" s="27">
        <v>4</v>
      </c>
      <c r="D39" s="27" t="s">
        <v>28</v>
      </c>
      <c r="E39" s="28" t="s">
        <v>29</v>
      </c>
      <c r="F39" s="28" t="s">
        <v>129</v>
      </c>
      <c r="G39" s="28" t="s">
        <v>57</v>
      </c>
      <c r="H39" s="27" t="s">
        <v>123</v>
      </c>
      <c r="I39" s="27" t="s">
        <v>118</v>
      </c>
      <c r="J39" s="27" t="s">
        <v>88</v>
      </c>
      <c r="K39" s="27">
        <v>18</v>
      </c>
      <c r="L39" s="27">
        <v>20</v>
      </c>
      <c r="M39" s="27">
        <v>2</v>
      </c>
      <c r="N39" s="29">
        <f>IF(I39="PROC",0,IF(J39="PR",CONTROL!$C$8,IF(J39="BLDG",CONTROL!$C$9,IF(J39="SLP",CONTROL!$C$10,0))))</f>
        <v>0</v>
      </c>
      <c r="O39" s="27">
        <f t="shared" si="3"/>
        <v>18</v>
      </c>
      <c r="P39" s="27">
        <f t="shared" si="4"/>
        <v>20</v>
      </c>
      <c r="Q39" s="30" t="str">
        <f t="shared" si="5"/>
        <v>ON TIME</v>
      </c>
      <c r="R39" s="27">
        <v>7</v>
      </c>
      <c r="S39" s="31">
        <f>CONTROL!$C$6+K39*7</f>
        <v>46208</v>
      </c>
      <c r="T39" s="31">
        <f>CONTROL!$C$6+O39*7</f>
        <v>46208</v>
      </c>
    </row>
    <row r="40" spans="1:20" x14ac:dyDescent="0.4">
      <c r="A40" s="27">
        <v>39</v>
      </c>
      <c r="B40" s="27" t="s">
        <v>109</v>
      </c>
      <c r="C40" s="27">
        <v>5</v>
      </c>
      <c r="D40" s="27" t="s">
        <v>30</v>
      </c>
      <c r="E40" s="28" t="s">
        <v>31</v>
      </c>
      <c r="F40" s="28" t="s">
        <v>131</v>
      </c>
      <c r="G40" s="28" t="s">
        <v>111</v>
      </c>
      <c r="H40" s="27" t="s">
        <v>112</v>
      </c>
      <c r="I40" s="27" t="s">
        <v>113</v>
      </c>
      <c r="J40" s="27" t="s">
        <v>114</v>
      </c>
      <c r="K40" s="27">
        <v>-16</v>
      </c>
      <c r="L40" s="27">
        <v>-6</v>
      </c>
      <c r="M40" s="27">
        <v>10</v>
      </c>
      <c r="N40" s="29">
        <f>IF(I40="PROC",0,IF(J40="PR",CONTROL!$C$8,IF(J40="BLDG",CONTROL!$C$9,IF(J40="SLP",CONTROL!$C$10,0))))</f>
        <v>0</v>
      </c>
      <c r="O40" s="27">
        <f t="shared" si="3"/>
        <v>-16</v>
      </c>
      <c r="P40" s="27">
        <f t="shared" si="4"/>
        <v>-6</v>
      </c>
      <c r="Q40" s="30" t="str">
        <f t="shared" si="5"/>
        <v>ON TIME</v>
      </c>
      <c r="R40" s="27">
        <v>1</v>
      </c>
      <c r="S40" s="31">
        <f>CONTROL!$C$6+K40*7</f>
        <v>45970</v>
      </c>
      <c r="T40" s="31">
        <f>CONTROL!$C$6+O40*7</f>
        <v>45970</v>
      </c>
    </row>
    <row r="41" spans="1:20" x14ac:dyDescent="0.4">
      <c r="A41" s="27">
        <v>40</v>
      </c>
      <c r="B41" s="27" t="s">
        <v>109</v>
      </c>
      <c r="C41" s="27">
        <v>5</v>
      </c>
      <c r="D41" s="27" t="s">
        <v>30</v>
      </c>
      <c r="E41" s="28" t="s">
        <v>31</v>
      </c>
      <c r="F41" s="28" t="s">
        <v>131</v>
      </c>
      <c r="G41" s="28" t="s">
        <v>52</v>
      </c>
      <c r="H41" s="27" t="s">
        <v>115</v>
      </c>
      <c r="I41" s="27" t="s">
        <v>113</v>
      </c>
      <c r="J41" s="27" t="s">
        <v>114</v>
      </c>
      <c r="K41" s="27">
        <v>-4</v>
      </c>
      <c r="L41" s="27">
        <v>4</v>
      </c>
      <c r="M41" s="27">
        <v>8</v>
      </c>
      <c r="N41" s="29">
        <f>IF(I41="PROC",0,IF(J41="PR",CONTROL!$C$8,IF(J41="BLDG",CONTROL!$C$9,IF(J41="SLP",CONTROL!$C$10,0))))</f>
        <v>0</v>
      </c>
      <c r="O41" s="27">
        <f t="shared" si="3"/>
        <v>-4</v>
      </c>
      <c r="P41" s="27">
        <f t="shared" si="4"/>
        <v>4</v>
      </c>
      <c r="Q41" s="30" t="str">
        <f t="shared" si="5"/>
        <v>ON TIME</v>
      </c>
      <c r="R41" s="27">
        <v>2</v>
      </c>
      <c r="S41" s="31">
        <f>CONTROL!$C$6+K41*7</f>
        <v>46054</v>
      </c>
      <c r="T41" s="31">
        <f>CONTROL!$C$6+O41*7</f>
        <v>46054</v>
      </c>
    </row>
    <row r="42" spans="1:20" x14ac:dyDescent="0.4">
      <c r="A42" s="27">
        <v>41</v>
      </c>
      <c r="B42" s="27" t="s">
        <v>109</v>
      </c>
      <c r="C42" s="27">
        <v>5</v>
      </c>
      <c r="D42" s="27" t="s">
        <v>30</v>
      </c>
      <c r="E42" s="28" t="s">
        <v>31</v>
      </c>
      <c r="F42" s="28" t="s">
        <v>131</v>
      </c>
      <c r="G42" s="28" t="s">
        <v>53</v>
      </c>
      <c r="H42" s="27" t="s">
        <v>116</v>
      </c>
      <c r="I42" s="27" t="s">
        <v>113</v>
      </c>
      <c r="J42" s="27" t="s">
        <v>114</v>
      </c>
      <c r="K42" s="27">
        <v>2</v>
      </c>
      <c r="L42" s="27">
        <v>6</v>
      </c>
      <c r="M42" s="27">
        <v>4</v>
      </c>
      <c r="N42" s="29">
        <f>IF(I42="PROC",0,IF(J42="PR",CONTROL!$C$8,IF(J42="BLDG",CONTROL!$C$9,IF(J42="SLP",CONTROL!$C$10,0))))</f>
        <v>0</v>
      </c>
      <c r="O42" s="27">
        <f t="shared" si="3"/>
        <v>2</v>
      </c>
      <c r="P42" s="27">
        <f t="shared" si="4"/>
        <v>6</v>
      </c>
      <c r="Q42" s="30" t="str">
        <f t="shared" si="5"/>
        <v>ON TIME</v>
      </c>
      <c r="R42" s="27">
        <v>3</v>
      </c>
      <c r="S42" s="31">
        <f>CONTROL!$C$6+K42*7</f>
        <v>46096</v>
      </c>
      <c r="T42" s="31">
        <f>CONTROL!$C$6+O42*7</f>
        <v>46096</v>
      </c>
    </row>
    <row r="43" spans="1:20" x14ac:dyDescent="0.4">
      <c r="A43" s="27">
        <v>42</v>
      </c>
      <c r="B43" s="27" t="s">
        <v>109</v>
      </c>
      <c r="C43" s="27">
        <v>5</v>
      </c>
      <c r="D43" s="27" t="s">
        <v>30</v>
      </c>
      <c r="E43" s="28" t="s">
        <v>31</v>
      </c>
      <c r="F43" s="28" t="s">
        <v>131</v>
      </c>
      <c r="G43" s="28" t="s">
        <v>54</v>
      </c>
      <c r="H43" s="27" t="s">
        <v>117</v>
      </c>
      <c r="I43" s="27" t="s">
        <v>118</v>
      </c>
      <c r="J43" s="27" t="s">
        <v>88</v>
      </c>
      <c r="K43" s="27">
        <v>6</v>
      </c>
      <c r="L43" s="27">
        <v>14</v>
      </c>
      <c r="M43" s="27">
        <v>8</v>
      </c>
      <c r="N43" s="29">
        <f>IF(I43="PROC",0,IF(J43="PR",CONTROL!$C$8,IF(J43="BLDG",CONTROL!$C$9,IF(J43="SLP",CONTROL!$C$10,0))))</f>
        <v>0</v>
      </c>
      <c r="O43" s="27">
        <f t="shared" si="3"/>
        <v>6</v>
      </c>
      <c r="P43" s="27">
        <f t="shared" si="4"/>
        <v>14</v>
      </c>
      <c r="Q43" s="30" t="str">
        <f t="shared" si="5"/>
        <v>ON TIME</v>
      </c>
      <c r="R43" s="27">
        <v>4</v>
      </c>
      <c r="S43" s="31">
        <f>CONTROL!$C$6+K43*7</f>
        <v>46124</v>
      </c>
      <c r="T43" s="31">
        <f>CONTROL!$C$6+O43*7</f>
        <v>46124</v>
      </c>
    </row>
    <row r="44" spans="1:20" x14ac:dyDescent="0.4">
      <c r="A44" s="27">
        <v>43</v>
      </c>
      <c r="B44" s="27" t="s">
        <v>109</v>
      </c>
      <c r="C44" s="27">
        <v>5</v>
      </c>
      <c r="D44" s="27" t="s">
        <v>30</v>
      </c>
      <c r="E44" s="28" t="s">
        <v>31</v>
      </c>
      <c r="F44" s="28" t="s">
        <v>131</v>
      </c>
      <c r="G44" s="28" t="s">
        <v>119</v>
      </c>
      <c r="H44" s="27" t="s">
        <v>120</v>
      </c>
      <c r="I44" s="27" t="s">
        <v>118</v>
      </c>
      <c r="J44" s="27" t="s">
        <v>102</v>
      </c>
      <c r="K44" s="27">
        <v>14</v>
      </c>
      <c r="L44" s="27">
        <v>16</v>
      </c>
      <c r="M44" s="27">
        <v>2</v>
      </c>
      <c r="N44" s="29">
        <f>IF(I44="PROC",0,IF(J44="PR",CONTROL!$C$8,IF(J44="BLDG",CONTROL!$C$9,IF(J44="SLP",CONTROL!$C$10,0))))</f>
        <v>0</v>
      </c>
      <c r="O44" s="27">
        <f t="shared" si="3"/>
        <v>14</v>
      </c>
      <c r="P44" s="27">
        <f t="shared" si="4"/>
        <v>16</v>
      </c>
      <c r="Q44" s="30" t="str">
        <f t="shared" si="5"/>
        <v>ON TIME</v>
      </c>
      <c r="R44" s="27">
        <v>5</v>
      </c>
      <c r="S44" s="31">
        <f>CONTROL!$C$6+K44*7</f>
        <v>46180</v>
      </c>
      <c r="T44" s="31">
        <f>CONTROL!$C$6+O44*7</f>
        <v>46180</v>
      </c>
    </row>
    <row r="45" spans="1:20" x14ac:dyDescent="0.4">
      <c r="A45" s="27">
        <v>44</v>
      </c>
      <c r="B45" s="27" t="s">
        <v>109</v>
      </c>
      <c r="C45" s="27">
        <v>5</v>
      </c>
      <c r="D45" s="27" t="s">
        <v>30</v>
      </c>
      <c r="E45" s="28" t="s">
        <v>31</v>
      </c>
      <c r="F45" s="28" t="s">
        <v>131</v>
      </c>
      <c r="G45" s="28" t="s">
        <v>132</v>
      </c>
      <c r="H45" s="27" t="s">
        <v>122</v>
      </c>
      <c r="I45" s="27" t="s">
        <v>118</v>
      </c>
      <c r="J45" s="27" t="s">
        <v>88</v>
      </c>
      <c r="K45" s="27">
        <v>16</v>
      </c>
      <c r="L45" s="27">
        <v>18</v>
      </c>
      <c r="M45" s="27">
        <v>2</v>
      </c>
      <c r="N45" s="29">
        <f>IF(I45="PROC",0,IF(J45="PR",CONTROL!$C$8,IF(J45="BLDG",CONTROL!$C$9,IF(J45="SLP",CONTROL!$C$10,0))))</f>
        <v>0</v>
      </c>
      <c r="O45" s="27">
        <f t="shared" si="3"/>
        <v>16</v>
      </c>
      <c r="P45" s="27">
        <f t="shared" si="4"/>
        <v>18</v>
      </c>
      <c r="Q45" s="30" t="str">
        <f t="shared" si="5"/>
        <v>ON TIME</v>
      </c>
      <c r="R45" s="27">
        <v>6</v>
      </c>
      <c r="S45" s="31">
        <f>CONTROL!$C$6+K45*7</f>
        <v>46194</v>
      </c>
      <c r="T45" s="31">
        <f>CONTROL!$C$6+O45*7</f>
        <v>46194</v>
      </c>
    </row>
    <row r="46" spans="1:20" x14ac:dyDescent="0.4">
      <c r="A46" s="27">
        <v>45</v>
      </c>
      <c r="B46" s="27" t="s">
        <v>109</v>
      </c>
      <c r="C46" s="27">
        <v>5</v>
      </c>
      <c r="D46" s="27" t="s">
        <v>30</v>
      </c>
      <c r="E46" s="28" t="s">
        <v>31</v>
      </c>
      <c r="F46" s="28" t="s">
        <v>131</v>
      </c>
      <c r="G46" s="28" t="s">
        <v>57</v>
      </c>
      <c r="H46" s="27" t="s">
        <v>123</v>
      </c>
      <c r="I46" s="27" t="s">
        <v>118</v>
      </c>
      <c r="J46" s="27" t="s">
        <v>88</v>
      </c>
      <c r="K46" s="27">
        <v>18</v>
      </c>
      <c r="L46" s="27">
        <v>20</v>
      </c>
      <c r="M46" s="27">
        <v>2</v>
      </c>
      <c r="N46" s="29">
        <f>IF(I46="PROC",0,IF(J46="PR",CONTROL!$C$8,IF(J46="BLDG",CONTROL!$C$9,IF(J46="SLP",CONTROL!$C$10,0))))</f>
        <v>0</v>
      </c>
      <c r="O46" s="27">
        <f t="shared" si="3"/>
        <v>18</v>
      </c>
      <c r="P46" s="27">
        <f t="shared" si="4"/>
        <v>20</v>
      </c>
      <c r="Q46" s="30" t="str">
        <f t="shared" si="5"/>
        <v>ON TIME</v>
      </c>
      <c r="R46" s="27">
        <v>7</v>
      </c>
      <c r="S46" s="31">
        <f>CONTROL!$C$6+K46*7</f>
        <v>46208</v>
      </c>
      <c r="T46" s="31">
        <f>CONTROL!$C$6+O46*7</f>
        <v>46208</v>
      </c>
    </row>
    <row r="47" spans="1:20" x14ac:dyDescent="0.4">
      <c r="A47" s="27">
        <v>46</v>
      </c>
      <c r="B47" s="27" t="s">
        <v>109</v>
      </c>
      <c r="C47" s="27">
        <v>6</v>
      </c>
      <c r="D47" s="27" t="s">
        <v>33</v>
      </c>
      <c r="E47" s="28" t="s">
        <v>34</v>
      </c>
      <c r="F47" s="28" t="s">
        <v>133</v>
      </c>
      <c r="G47" s="28" t="s">
        <v>111</v>
      </c>
      <c r="H47" s="27" t="s">
        <v>112</v>
      </c>
      <c r="I47" s="27" t="s">
        <v>113</v>
      </c>
      <c r="J47" s="27" t="s">
        <v>114</v>
      </c>
      <c r="K47" s="27">
        <v>-12</v>
      </c>
      <c r="L47" s="27">
        <v>-4</v>
      </c>
      <c r="M47" s="27">
        <v>8</v>
      </c>
      <c r="N47" s="29">
        <f>IF(I47="PROC",0,IF(J47="PR",CONTROL!$C$8,IF(J47="BLDG",CONTROL!$C$9,IF(J47="SLP",CONTROL!$C$10,0))))</f>
        <v>0</v>
      </c>
      <c r="O47" s="27">
        <f t="shared" si="3"/>
        <v>-12</v>
      </c>
      <c r="P47" s="27">
        <f t="shared" si="4"/>
        <v>-4</v>
      </c>
      <c r="Q47" s="30" t="str">
        <f t="shared" si="5"/>
        <v>ON TIME</v>
      </c>
      <c r="R47" s="27">
        <v>1</v>
      </c>
      <c r="S47" s="31">
        <f>CONTROL!$C$6+K47*7</f>
        <v>45998</v>
      </c>
      <c r="T47" s="31">
        <f>CONTROL!$C$6+O47*7</f>
        <v>45998</v>
      </c>
    </row>
    <row r="48" spans="1:20" x14ac:dyDescent="0.4">
      <c r="A48" s="27">
        <v>47</v>
      </c>
      <c r="B48" s="27" t="s">
        <v>109</v>
      </c>
      <c r="C48" s="27">
        <v>6</v>
      </c>
      <c r="D48" s="27" t="s">
        <v>33</v>
      </c>
      <c r="E48" s="28" t="s">
        <v>34</v>
      </c>
      <c r="F48" s="28" t="s">
        <v>133</v>
      </c>
      <c r="G48" s="28" t="s">
        <v>52</v>
      </c>
      <c r="H48" s="27" t="s">
        <v>115</v>
      </c>
      <c r="I48" s="27" t="s">
        <v>113</v>
      </c>
      <c r="J48" s="27" t="s">
        <v>114</v>
      </c>
      <c r="K48" s="27">
        <v>-2</v>
      </c>
      <c r="L48" s="27">
        <v>4</v>
      </c>
      <c r="M48" s="27">
        <v>6</v>
      </c>
      <c r="N48" s="29">
        <f>IF(I48="PROC",0,IF(J48="PR",CONTROL!$C$8,IF(J48="BLDG",CONTROL!$C$9,IF(J48="SLP",CONTROL!$C$10,0))))</f>
        <v>0</v>
      </c>
      <c r="O48" s="27">
        <f t="shared" si="3"/>
        <v>-2</v>
      </c>
      <c r="P48" s="27">
        <f t="shared" si="4"/>
        <v>4</v>
      </c>
      <c r="Q48" s="30" t="str">
        <f t="shared" si="5"/>
        <v>ON TIME</v>
      </c>
      <c r="R48" s="27">
        <v>2</v>
      </c>
      <c r="S48" s="31">
        <f>CONTROL!$C$6+K48*7</f>
        <v>46068</v>
      </c>
      <c r="T48" s="31">
        <f>CONTROL!$C$6+O48*7</f>
        <v>46068</v>
      </c>
    </row>
    <row r="49" spans="1:20" x14ac:dyDescent="0.4">
      <c r="A49" s="27">
        <v>48</v>
      </c>
      <c r="B49" s="27" t="s">
        <v>109</v>
      </c>
      <c r="C49" s="27">
        <v>6</v>
      </c>
      <c r="D49" s="27" t="s">
        <v>33</v>
      </c>
      <c r="E49" s="28" t="s">
        <v>34</v>
      </c>
      <c r="F49" s="28" t="s">
        <v>133</v>
      </c>
      <c r="G49" s="28" t="s">
        <v>53</v>
      </c>
      <c r="H49" s="27" t="s">
        <v>116</v>
      </c>
      <c r="I49" s="27" t="s">
        <v>113</v>
      </c>
      <c r="J49" s="27" t="s">
        <v>114</v>
      </c>
      <c r="K49" s="27">
        <v>2</v>
      </c>
      <c r="L49" s="27">
        <v>6</v>
      </c>
      <c r="M49" s="27">
        <v>4</v>
      </c>
      <c r="N49" s="29">
        <f>IF(I49="PROC",0,IF(J49="PR",CONTROL!$C$8,IF(J49="BLDG",CONTROL!$C$9,IF(J49="SLP",CONTROL!$C$10,0))))</f>
        <v>0</v>
      </c>
      <c r="O49" s="27">
        <f t="shared" si="3"/>
        <v>2</v>
      </c>
      <c r="P49" s="27">
        <f t="shared" si="4"/>
        <v>6</v>
      </c>
      <c r="Q49" s="30" t="str">
        <f t="shared" si="5"/>
        <v>ON TIME</v>
      </c>
      <c r="R49" s="27">
        <v>3</v>
      </c>
      <c r="S49" s="31">
        <f>CONTROL!$C$6+K49*7</f>
        <v>46096</v>
      </c>
      <c r="T49" s="31">
        <f>CONTROL!$C$6+O49*7</f>
        <v>46096</v>
      </c>
    </row>
    <row r="50" spans="1:20" x14ac:dyDescent="0.4">
      <c r="A50" s="27">
        <v>49</v>
      </c>
      <c r="B50" s="27" t="s">
        <v>109</v>
      </c>
      <c r="C50" s="27">
        <v>6</v>
      </c>
      <c r="D50" s="27" t="s">
        <v>33</v>
      </c>
      <c r="E50" s="28" t="s">
        <v>34</v>
      </c>
      <c r="F50" s="28" t="s">
        <v>133</v>
      </c>
      <c r="G50" s="28" t="s">
        <v>54</v>
      </c>
      <c r="H50" s="27" t="s">
        <v>117</v>
      </c>
      <c r="I50" s="27" t="s">
        <v>118</v>
      </c>
      <c r="J50" s="27" t="s">
        <v>95</v>
      </c>
      <c r="K50" s="27">
        <v>6</v>
      </c>
      <c r="L50" s="27">
        <v>12</v>
      </c>
      <c r="M50" s="27">
        <v>6</v>
      </c>
      <c r="N50" s="29">
        <f>IF(I50="PROC",0,IF(J50="PR",CONTROL!$C$8,IF(J50="BLDG",CONTROL!$C$9,IF(J50="SLP",CONTROL!$C$10,0))))</f>
        <v>0</v>
      </c>
      <c r="O50" s="27">
        <f t="shared" si="3"/>
        <v>6</v>
      </c>
      <c r="P50" s="27">
        <f t="shared" si="4"/>
        <v>12</v>
      </c>
      <c r="Q50" s="30" t="str">
        <f t="shared" si="5"/>
        <v>ON TIME</v>
      </c>
      <c r="R50" s="27">
        <v>4</v>
      </c>
      <c r="S50" s="31">
        <f>CONTROL!$C$6+K50*7</f>
        <v>46124</v>
      </c>
      <c r="T50" s="31">
        <f>CONTROL!$C$6+O50*7</f>
        <v>46124</v>
      </c>
    </row>
    <row r="51" spans="1:20" x14ac:dyDescent="0.4">
      <c r="A51" s="27">
        <v>50</v>
      </c>
      <c r="B51" s="27" t="s">
        <v>109</v>
      </c>
      <c r="C51" s="27">
        <v>6</v>
      </c>
      <c r="D51" s="27" t="s">
        <v>33</v>
      </c>
      <c r="E51" s="28" t="s">
        <v>34</v>
      </c>
      <c r="F51" s="28" t="s">
        <v>133</v>
      </c>
      <c r="G51" s="28" t="s">
        <v>119</v>
      </c>
      <c r="H51" s="27" t="s">
        <v>120</v>
      </c>
      <c r="I51" s="27" t="s">
        <v>118</v>
      </c>
      <c r="J51" s="27" t="s">
        <v>102</v>
      </c>
      <c r="K51" s="27">
        <v>12</v>
      </c>
      <c r="L51" s="27">
        <v>14</v>
      </c>
      <c r="M51" s="27">
        <v>2</v>
      </c>
      <c r="N51" s="29">
        <f>IF(I51="PROC",0,IF(J51="PR",CONTROL!$C$8,IF(J51="BLDG",CONTROL!$C$9,IF(J51="SLP",CONTROL!$C$10,0))))</f>
        <v>0</v>
      </c>
      <c r="O51" s="27">
        <f t="shared" si="3"/>
        <v>12</v>
      </c>
      <c r="P51" s="27">
        <f t="shared" si="4"/>
        <v>14</v>
      </c>
      <c r="Q51" s="30" t="str">
        <f t="shared" si="5"/>
        <v>ON TIME</v>
      </c>
      <c r="R51" s="27">
        <v>5</v>
      </c>
      <c r="S51" s="31">
        <f>CONTROL!$C$6+K51*7</f>
        <v>46166</v>
      </c>
      <c r="T51" s="31">
        <f>CONTROL!$C$6+O51*7</f>
        <v>46166</v>
      </c>
    </row>
    <row r="52" spans="1:20" x14ac:dyDescent="0.4">
      <c r="A52" s="27">
        <v>51</v>
      </c>
      <c r="B52" s="27" t="s">
        <v>109</v>
      </c>
      <c r="C52" s="27">
        <v>6</v>
      </c>
      <c r="D52" s="27" t="s">
        <v>33</v>
      </c>
      <c r="E52" s="28" t="s">
        <v>34</v>
      </c>
      <c r="F52" s="28" t="s">
        <v>133</v>
      </c>
      <c r="G52" s="28" t="s">
        <v>125</v>
      </c>
      <c r="H52" s="27" t="s">
        <v>122</v>
      </c>
      <c r="I52" s="27" t="s">
        <v>118</v>
      </c>
      <c r="J52" s="27" t="s">
        <v>95</v>
      </c>
      <c r="K52" s="27">
        <v>14</v>
      </c>
      <c r="L52" s="27">
        <v>16</v>
      </c>
      <c r="M52" s="27">
        <v>2</v>
      </c>
      <c r="N52" s="29">
        <f>IF(I52="PROC",0,IF(J52="PR",CONTROL!$C$8,IF(J52="BLDG",CONTROL!$C$9,IF(J52="SLP",CONTROL!$C$10,0))))</f>
        <v>0</v>
      </c>
      <c r="O52" s="27">
        <f t="shared" si="3"/>
        <v>14</v>
      </c>
      <c r="P52" s="27">
        <f t="shared" si="4"/>
        <v>16</v>
      </c>
      <c r="Q52" s="30" t="str">
        <f t="shared" si="5"/>
        <v>ON TIME</v>
      </c>
      <c r="R52" s="27">
        <v>6</v>
      </c>
      <c r="S52" s="31">
        <f>CONTROL!$C$6+K52*7</f>
        <v>46180</v>
      </c>
      <c r="T52" s="31">
        <f>CONTROL!$C$6+O52*7</f>
        <v>46180</v>
      </c>
    </row>
    <row r="53" spans="1:20" x14ac:dyDescent="0.4">
      <c r="A53" s="27">
        <v>52</v>
      </c>
      <c r="B53" s="27" t="s">
        <v>109</v>
      </c>
      <c r="C53" s="27">
        <v>6</v>
      </c>
      <c r="D53" s="27" t="s">
        <v>33</v>
      </c>
      <c r="E53" s="28" t="s">
        <v>34</v>
      </c>
      <c r="F53" s="28" t="s">
        <v>133</v>
      </c>
      <c r="G53" s="28" t="s">
        <v>57</v>
      </c>
      <c r="H53" s="27" t="s">
        <v>123</v>
      </c>
      <c r="I53" s="27" t="s">
        <v>118</v>
      </c>
      <c r="J53" s="27" t="s">
        <v>95</v>
      </c>
      <c r="K53" s="27">
        <v>16</v>
      </c>
      <c r="L53" s="27">
        <v>18</v>
      </c>
      <c r="M53" s="27">
        <v>2</v>
      </c>
      <c r="N53" s="29">
        <f>IF(I53="PROC",0,IF(J53="PR",CONTROL!$C$8,IF(J53="BLDG",CONTROL!$C$9,IF(J53="SLP",CONTROL!$C$10,0))))</f>
        <v>0</v>
      </c>
      <c r="O53" s="27">
        <f t="shared" si="3"/>
        <v>16</v>
      </c>
      <c r="P53" s="27">
        <f t="shared" si="4"/>
        <v>18</v>
      </c>
      <c r="Q53" s="30" t="str">
        <f t="shared" si="5"/>
        <v>ON TIME</v>
      </c>
      <c r="R53" s="27">
        <v>7</v>
      </c>
      <c r="S53" s="31">
        <f>CONTROL!$C$6+K53*7</f>
        <v>46194</v>
      </c>
      <c r="T53" s="31">
        <f>CONTROL!$C$6+O53*7</f>
        <v>46194</v>
      </c>
    </row>
    <row r="54" spans="1:20" x14ac:dyDescent="0.4">
      <c r="A54" s="27">
        <v>53</v>
      </c>
      <c r="B54" s="27" t="s">
        <v>109</v>
      </c>
      <c r="C54" s="27">
        <v>7</v>
      </c>
      <c r="D54" s="27" t="s">
        <v>36</v>
      </c>
      <c r="E54" s="28" t="s">
        <v>37</v>
      </c>
      <c r="F54" s="28" t="s">
        <v>134</v>
      </c>
      <c r="G54" s="28" t="s">
        <v>111</v>
      </c>
      <c r="H54" s="27" t="s">
        <v>112</v>
      </c>
      <c r="I54" s="27" t="s">
        <v>113</v>
      </c>
      <c r="J54" s="27" t="s">
        <v>114</v>
      </c>
      <c r="K54" s="27">
        <v>-10</v>
      </c>
      <c r="L54" s="27">
        <v>-4</v>
      </c>
      <c r="M54" s="27">
        <v>6</v>
      </c>
      <c r="N54" s="29">
        <f>IF(I54="PROC",0,IF(J54="PR",CONTROL!$C$8,IF(J54="BLDG",CONTROL!$C$9,IF(J54="SLP",CONTROL!$C$10,0))))</f>
        <v>0</v>
      </c>
      <c r="O54" s="27">
        <f t="shared" si="3"/>
        <v>-10</v>
      </c>
      <c r="P54" s="27">
        <f t="shared" si="4"/>
        <v>-4</v>
      </c>
      <c r="Q54" s="30" t="str">
        <f t="shared" si="5"/>
        <v>ON TIME</v>
      </c>
      <c r="R54" s="27">
        <v>1</v>
      </c>
      <c r="S54" s="31">
        <f>CONTROL!$C$6+K54*7</f>
        <v>46012</v>
      </c>
      <c r="T54" s="31">
        <f>CONTROL!$C$6+O54*7</f>
        <v>46012</v>
      </c>
    </row>
    <row r="55" spans="1:20" x14ac:dyDescent="0.4">
      <c r="A55" s="27">
        <v>54</v>
      </c>
      <c r="B55" s="27" t="s">
        <v>109</v>
      </c>
      <c r="C55" s="27">
        <v>7</v>
      </c>
      <c r="D55" s="27" t="s">
        <v>36</v>
      </c>
      <c r="E55" s="28" t="s">
        <v>37</v>
      </c>
      <c r="F55" s="28" t="s">
        <v>134</v>
      </c>
      <c r="G55" s="28" t="s">
        <v>52</v>
      </c>
      <c r="H55" s="27" t="s">
        <v>115</v>
      </c>
      <c r="I55" s="27" t="s">
        <v>113</v>
      </c>
      <c r="J55" s="27" t="s">
        <v>114</v>
      </c>
      <c r="K55" s="27">
        <v>-2</v>
      </c>
      <c r="L55" s="27">
        <v>4</v>
      </c>
      <c r="M55" s="27">
        <v>6</v>
      </c>
      <c r="N55" s="29">
        <f>IF(I55="PROC",0,IF(J55="PR",CONTROL!$C$8,IF(J55="BLDG",CONTROL!$C$9,IF(J55="SLP",CONTROL!$C$10,0))))</f>
        <v>0</v>
      </c>
      <c r="O55" s="27">
        <f t="shared" si="3"/>
        <v>-2</v>
      </c>
      <c r="P55" s="27">
        <f t="shared" si="4"/>
        <v>4</v>
      </c>
      <c r="Q55" s="30" t="str">
        <f t="shared" si="5"/>
        <v>ON TIME</v>
      </c>
      <c r="R55" s="27">
        <v>2</v>
      </c>
      <c r="S55" s="31">
        <f>CONTROL!$C$6+K55*7</f>
        <v>46068</v>
      </c>
      <c r="T55" s="31">
        <f>CONTROL!$C$6+O55*7</f>
        <v>46068</v>
      </c>
    </row>
    <row r="56" spans="1:20" x14ac:dyDescent="0.4">
      <c r="A56" s="27">
        <v>55</v>
      </c>
      <c r="B56" s="27" t="s">
        <v>109</v>
      </c>
      <c r="C56" s="27">
        <v>7</v>
      </c>
      <c r="D56" s="27" t="s">
        <v>36</v>
      </c>
      <c r="E56" s="28" t="s">
        <v>37</v>
      </c>
      <c r="F56" s="28" t="s">
        <v>134</v>
      </c>
      <c r="G56" s="28" t="s">
        <v>53</v>
      </c>
      <c r="H56" s="27" t="s">
        <v>116</v>
      </c>
      <c r="I56" s="27" t="s">
        <v>113</v>
      </c>
      <c r="J56" s="27" t="s">
        <v>114</v>
      </c>
      <c r="K56" s="27">
        <v>2</v>
      </c>
      <c r="L56" s="27">
        <v>6</v>
      </c>
      <c r="M56" s="27">
        <v>4</v>
      </c>
      <c r="N56" s="29">
        <f>IF(I56="PROC",0,IF(J56="PR",CONTROL!$C$8,IF(J56="BLDG",CONTROL!$C$9,IF(J56="SLP",CONTROL!$C$10,0))))</f>
        <v>0</v>
      </c>
      <c r="O56" s="27">
        <f t="shared" si="3"/>
        <v>2</v>
      </c>
      <c r="P56" s="27">
        <f t="shared" si="4"/>
        <v>6</v>
      </c>
      <c r="Q56" s="30" t="str">
        <f t="shared" si="5"/>
        <v>ON TIME</v>
      </c>
      <c r="R56" s="27">
        <v>3</v>
      </c>
      <c r="S56" s="31">
        <f>CONTROL!$C$6+K56*7</f>
        <v>46096</v>
      </c>
      <c r="T56" s="31">
        <f>CONTROL!$C$6+O56*7</f>
        <v>46096</v>
      </c>
    </row>
    <row r="57" spans="1:20" x14ac:dyDescent="0.4">
      <c r="A57" s="27">
        <v>56</v>
      </c>
      <c r="B57" s="27" t="s">
        <v>109</v>
      </c>
      <c r="C57" s="27">
        <v>7</v>
      </c>
      <c r="D57" s="27" t="s">
        <v>36</v>
      </c>
      <c r="E57" s="28" t="s">
        <v>37</v>
      </c>
      <c r="F57" s="28" t="s">
        <v>134</v>
      </c>
      <c r="G57" s="28" t="s">
        <v>54</v>
      </c>
      <c r="H57" s="27" t="s">
        <v>117</v>
      </c>
      <c r="I57" s="27" t="s">
        <v>118</v>
      </c>
      <c r="J57" s="27" t="s">
        <v>95</v>
      </c>
      <c r="K57" s="27">
        <v>4</v>
      </c>
      <c r="L57" s="27">
        <v>10</v>
      </c>
      <c r="M57" s="27">
        <v>6</v>
      </c>
      <c r="N57" s="29">
        <f>IF(I57="PROC",0,IF(J57="PR",CONTROL!$C$8,IF(J57="BLDG",CONTROL!$C$9,IF(J57="SLP",CONTROL!$C$10,0))))</f>
        <v>0</v>
      </c>
      <c r="O57" s="27">
        <f t="shared" si="3"/>
        <v>4</v>
      </c>
      <c r="P57" s="27">
        <f t="shared" si="4"/>
        <v>10</v>
      </c>
      <c r="Q57" s="30" t="str">
        <f t="shared" si="5"/>
        <v>ON TIME</v>
      </c>
      <c r="R57" s="27">
        <v>4</v>
      </c>
      <c r="S57" s="31">
        <f>CONTROL!$C$6+K57*7</f>
        <v>46110</v>
      </c>
      <c r="T57" s="31">
        <f>CONTROL!$C$6+O57*7</f>
        <v>46110</v>
      </c>
    </row>
    <row r="58" spans="1:20" x14ac:dyDescent="0.4">
      <c r="A58" s="27">
        <v>57</v>
      </c>
      <c r="B58" s="27" t="s">
        <v>109</v>
      </c>
      <c r="C58" s="27">
        <v>7</v>
      </c>
      <c r="D58" s="27" t="s">
        <v>36</v>
      </c>
      <c r="E58" s="28" t="s">
        <v>37</v>
      </c>
      <c r="F58" s="28" t="s">
        <v>134</v>
      </c>
      <c r="G58" s="28" t="s">
        <v>119</v>
      </c>
      <c r="H58" s="27" t="s">
        <v>120</v>
      </c>
      <c r="I58" s="27" t="s">
        <v>118</v>
      </c>
      <c r="J58" s="27" t="s">
        <v>102</v>
      </c>
      <c r="K58" s="27">
        <v>10</v>
      </c>
      <c r="L58" s="27">
        <v>12</v>
      </c>
      <c r="M58" s="27">
        <v>2</v>
      </c>
      <c r="N58" s="29">
        <f>IF(I58="PROC",0,IF(J58="PR",CONTROL!$C$8,IF(J58="BLDG",CONTROL!$C$9,IF(J58="SLP",CONTROL!$C$10,0))))</f>
        <v>0</v>
      </c>
      <c r="O58" s="27">
        <f t="shared" si="3"/>
        <v>10</v>
      </c>
      <c r="P58" s="27">
        <f t="shared" si="4"/>
        <v>12</v>
      </c>
      <c r="Q58" s="30" t="str">
        <f t="shared" si="5"/>
        <v>ON TIME</v>
      </c>
      <c r="R58" s="27">
        <v>5</v>
      </c>
      <c r="S58" s="31">
        <f>CONTROL!$C$6+K58*7</f>
        <v>46152</v>
      </c>
      <c r="T58" s="31">
        <f>CONTROL!$C$6+O58*7</f>
        <v>46152</v>
      </c>
    </row>
    <row r="59" spans="1:20" x14ac:dyDescent="0.4">
      <c r="A59" s="27">
        <v>58</v>
      </c>
      <c r="B59" s="27" t="s">
        <v>109</v>
      </c>
      <c r="C59" s="27">
        <v>7</v>
      </c>
      <c r="D59" s="27" t="s">
        <v>36</v>
      </c>
      <c r="E59" s="28" t="s">
        <v>37</v>
      </c>
      <c r="F59" s="28" t="s">
        <v>134</v>
      </c>
      <c r="G59" s="28" t="s">
        <v>135</v>
      </c>
      <c r="H59" s="27" t="s">
        <v>122</v>
      </c>
      <c r="I59" s="27" t="s">
        <v>118</v>
      </c>
      <c r="J59" s="27" t="s">
        <v>95</v>
      </c>
      <c r="K59" s="27">
        <v>12</v>
      </c>
      <c r="L59" s="27">
        <v>14</v>
      </c>
      <c r="M59" s="27">
        <v>2</v>
      </c>
      <c r="N59" s="29">
        <f>IF(I59="PROC",0,IF(J59="PR",CONTROL!$C$8,IF(J59="BLDG",CONTROL!$C$9,IF(J59="SLP",CONTROL!$C$10,0))))</f>
        <v>0</v>
      </c>
      <c r="O59" s="27">
        <f t="shared" si="3"/>
        <v>12</v>
      </c>
      <c r="P59" s="27">
        <f t="shared" si="4"/>
        <v>14</v>
      </c>
      <c r="Q59" s="30" t="str">
        <f t="shared" si="5"/>
        <v>ON TIME</v>
      </c>
      <c r="R59" s="27">
        <v>6</v>
      </c>
      <c r="S59" s="31">
        <f>CONTROL!$C$6+K59*7</f>
        <v>46166</v>
      </c>
      <c r="T59" s="31">
        <f>CONTROL!$C$6+O59*7</f>
        <v>46166</v>
      </c>
    </row>
    <row r="60" spans="1:20" x14ac:dyDescent="0.4">
      <c r="A60" s="27">
        <v>59</v>
      </c>
      <c r="B60" s="27" t="s">
        <v>109</v>
      </c>
      <c r="C60" s="27">
        <v>7</v>
      </c>
      <c r="D60" s="27" t="s">
        <v>36</v>
      </c>
      <c r="E60" s="28" t="s">
        <v>37</v>
      </c>
      <c r="F60" s="28" t="s">
        <v>134</v>
      </c>
      <c r="G60" s="28" t="s">
        <v>57</v>
      </c>
      <c r="H60" s="27" t="s">
        <v>123</v>
      </c>
      <c r="I60" s="27" t="s">
        <v>118</v>
      </c>
      <c r="J60" s="27" t="s">
        <v>95</v>
      </c>
      <c r="K60" s="27">
        <v>14</v>
      </c>
      <c r="L60" s="27">
        <v>16</v>
      </c>
      <c r="M60" s="27">
        <v>2</v>
      </c>
      <c r="N60" s="29">
        <f>IF(I60="PROC",0,IF(J60="PR",CONTROL!$C$8,IF(J60="BLDG",CONTROL!$C$9,IF(J60="SLP",CONTROL!$C$10,0))))</f>
        <v>0</v>
      </c>
      <c r="O60" s="27">
        <f t="shared" si="3"/>
        <v>14</v>
      </c>
      <c r="P60" s="27">
        <f t="shared" si="4"/>
        <v>16</v>
      </c>
      <c r="Q60" s="30" t="str">
        <f t="shared" si="5"/>
        <v>ON TIME</v>
      </c>
      <c r="R60" s="27">
        <v>7</v>
      </c>
      <c r="S60" s="31">
        <f>CONTROL!$C$6+K60*7</f>
        <v>46180</v>
      </c>
      <c r="T60" s="31">
        <f>CONTROL!$C$6+O60*7</f>
        <v>46180</v>
      </c>
    </row>
    <row r="61" spans="1:20" x14ac:dyDescent="0.4">
      <c r="A61" s="27">
        <v>60</v>
      </c>
      <c r="B61" s="27" t="s">
        <v>109</v>
      </c>
      <c r="C61" s="27">
        <v>8</v>
      </c>
      <c r="D61" s="27" t="s">
        <v>39</v>
      </c>
      <c r="E61" s="28" t="s">
        <v>40</v>
      </c>
      <c r="F61" s="28" t="s">
        <v>136</v>
      </c>
      <c r="G61" s="28" t="s">
        <v>111</v>
      </c>
      <c r="H61" s="27" t="s">
        <v>112</v>
      </c>
      <c r="I61" s="27" t="s">
        <v>113</v>
      </c>
      <c r="J61" s="27" t="s">
        <v>114</v>
      </c>
      <c r="K61" s="27">
        <v>-10</v>
      </c>
      <c r="L61" s="27">
        <v>-4</v>
      </c>
      <c r="M61" s="27">
        <v>6</v>
      </c>
      <c r="N61" s="29">
        <f>IF(I61="PROC",0,IF(J61="PR",CONTROL!$C$8,IF(J61="BLDG",CONTROL!$C$9,IF(J61="SLP",CONTROL!$C$10,0))))</f>
        <v>0</v>
      </c>
      <c r="O61" s="27">
        <f t="shared" si="3"/>
        <v>-10</v>
      </c>
      <c r="P61" s="27">
        <f t="shared" si="4"/>
        <v>-4</v>
      </c>
      <c r="Q61" s="30" t="str">
        <f t="shared" si="5"/>
        <v>ON TIME</v>
      </c>
      <c r="R61" s="27">
        <v>1</v>
      </c>
      <c r="S61" s="31">
        <f>CONTROL!$C$6+K61*7</f>
        <v>46012</v>
      </c>
      <c r="T61" s="31">
        <f>CONTROL!$C$6+O61*7</f>
        <v>46012</v>
      </c>
    </row>
    <row r="62" spans="1:20" x14ac:dyDescent="0.4">
      <c r="A62" s="27">
        <v>61</v>
      </c>
      <c r="B62" s="27" t="s">
        <v>109</v>
      </c>
      <c r="C62" s="27">
        <v>8</v>
      </c>
      <c r="D62" s="27" t="s">
        <v>39</v>
      </c>
      <c r="E62" s="28" t="s">
        <v>40</v>
      </c>
      <c r="F62" s="28" t="s">
        <v>136</v>
      </c>
      <c r="G62" s="28" t="s">
        <v>52</v>
      </c>
      <c r="H62" s="27" t="s">
        <v>115</v>
      </c>
      <c r="I62" s="27" t="s">
        <v>113</v>
      </c>
      <c r="J62" s="27" t="s">
        <v>114</v>
      </c>
      <c r="K62" s="27">
        <v>0</v>
      </c>
      <c r="L62" s="27">
        <v>4</v>
      </c>
      <c r="M62" s="27">
        <v>4</v>
      </c>
      <c r="N62" s="29">
        <f>IF(I62="PROC",0,IF(J62="PR",CONTROL!$C$8,IF(J62="BLDG",CONTROL!$C$9,IF(J62="SLP",CONTROL!$C$10,0))))</f>
        <v>0</v>
      </c>
      <c r="O62" s="27">
        <f t="shared" si="3"/>
        <v>0</v>
      </c>
      <c r="P62" s="27">
        <f t="shared" si="4"/>
        <v>4</v>
      </c>
      <c r="Q62" s="30" t="str">
        <f t="shared" si="5"/>
        <v>ON TIME</v>
      </c>
      <c r="R62" s="27">
        <v>2</v>
      </c>
      <c r="S62" s="31">
        <f>CONTROL!$C$6+K62*7</f>
        <v>46082</v>
      </c>
      <c r="T62" s="31">
        <f>CONTROL!$C$6+O62*7</f>
        <v>46082</v>
      </c>
    </row>
    <row r="63" spans="1:20" x14ac:dyDescent="0.4">
      <c r="A63" s="27">
        <v>62</v>
      </c>
      <c r="B63" s="27" t="s">
        <v>109</v>
      </c>
      <c r="C63" s="27">
        <v>8</v>
      </c>
      <c r="D63" s="27" t="s">
        <v>39</v>
      </c>
      <c r="E63" s="28" t="s">
        <v>40</v>
      </c>
      <c r="F63" s="28" t="s">
        <v>136</v>
      </c>
      <c r="G63" s="28" t="s">
        <v>53</v>
      </c>
      <c r="H63" s="27" t="s">
        <v>116</v>
      </c>
      <c r="I63" s="27" t="s">
        <v>113</v>
      </c>
      <c r="J63" s="27" t="s">
        <v>114</v>
      </c>
      <c r="K63" s="27">
        <v>2</v>
      </c>
      <c r="L63" s="27">
        <v>6</v>
      </c>
      <c r="M63" s="27">
        <v>4</v>
      </c>
      <c r="N63" s="29">
        <f>IF(I63="PROC",0,IF(J63="PR",CONTROL!$C$8,IF(J63="BLDG",CONTROL!$C$9,IF(J63="SLP",CONTROL!$C$10,0))))</f>
        <v>0</v>
      </c>
      <c r="O63" s="27">
        <f t="shared" si="3"/>
        <v>2</v>
      </c>
      <c r="P63" s="27">
        <f t="shared" si="4"/>
        <v>6</v>
      </c>
      <c r="Q63" s="30" t="str">
        <f t="shared" si="5"/>
        <v>ON TIME</v>
      </c>
      <c r="R63" s="27">
        <v>3</v>
      </c>
      <c r="S63" s="31">
        <f>CONTROL!$C$6+K63*7</f>
        <v>46096</v>
      </c>
      <c r="T63" s="31">
        <f>CONTROL!$C$6+O63*7</f>
        <v>46096</v>
      </c>
    </row>
    <row r="64" spans="1:20" x14ac:dyDescent="0.4">
      <c r="A64" s="27">
        <v>63</v>
      </c>
      <c r="B64" s="27" t="s">
        <v>109</v>
      </c>
      <c r="C64" s="27">
        <v>8</v>
      </c>
      <c r="D64" s="27" t="s">
        <v>39</v>
      </c>
      <c r="E64" s="28" t="s">
        <v>40</v>
      </c>
      <c r="F64" s="28" t="s">
        <v>136</v>
      </c>
      <c r="G64" s="28" t="s">
        <v>54</v>
      </c>
      <c r="H64" s="27" t="s">
        <v>117</v>
      </c>
      <c r="I64" s="27" t="s">
        <v>118</v>
      </c>
      <c r="J64" s="27" t="s">
        <v>95</v>
      </c>
      <c r="K64" s="27">
        <v>6</v>
      </c>
      <c r="L64" s="27">
        <v>10</v>
      </c>
      <c r="M64" s="27">
        <v>4</v>
      </c>
      <c r="N64" s="29">
        <f>IF(I64="PROC",0,IF(J64="PR",CONTROL!$C$8,IF(J64="BLDG",CONTROL!$C$9,IF(J64="SLP",CONTROL!$C$10,0))))</f>
        <v>0</v>
      </c>
      <c r="O64" s="27">
        <f t="shared" si="3"/>
        <v>6</v>
      </c>
      <c r="P64" s="27">
        <f t="shared" si="4"/>
        <v>10</v>
      </c>
      <c r="Q64" s="30" t="str">
        <f t="shared" si="5"/>
        <v>ON TIME</v>
      </c>
      <c r="R64" s="27">
        <v>4</v>
      </c>
      <c r="S64" s="31">
        <f>CONTROL!$C$6+K64*7</f>
        <v>46124</v>
      </c>
      <c r="T64" s="31">
        <f>CONTROL!$C$6+O64*7</f>
        <v>46124</v>
      </c>
    </row>
    <row r="65" spans="1:20" x14ac:dyDescent="0.4">
      <c r="A65" s="27">
        <v>64</v>
      </c>
      <c r="B65" s="27" t="s">
        <v>109</v>
      </c>
      <c r="C65" s="27">
        <v>8</v>
      </c>
      <c r="D65" s="27" t="s">
        <v>39</v>
      </c>
      <c r="E65" s="28" t="s">
        <v>40</v>
      </c>
      <c r="F65" s="28" t="s">
        <v>136</v>
      </c>
      <c r="G65" s="28" t="s">
        <v>119</v>
      </c>
      <c r="H65" s="27" t="s">
        <v>120</v>
      </c>
      <c r="I65" s="27" t="s">
        <v>118</v>
      </c>
      <c r="J65" s="27" t="s">
        <v>102</v>
      </c>
      <c r="K65" s="27">
        <v>10</v>
      </c>
      <c r="L65" s="27">
        <v>12</v>
      </c>
      <c r="M65" s="27">
        <v>2</v>
      </c>
      <c r="N65" s="29">
        <f>IF(I65="PROC",0,IF(J65="PR",CONTROL!$C$8,IF(J65="BLDG",CONTROL!$C$9,IF(J65="SLP",CONTROL!$C$10,0))))</f>
        <v>0</v>
      </c>
      <c r="O65" s="27">
        <f t="shared" si="3"/>
        <v>10</v>
      </c>
      <c r="P65" s="27">
        <f t="shared" si="4"/>
        <v>12</v>
      </c>
      <c r="Q65" s="30" t="str">
        <f t="shared" si="5"/>
        <v>ON TIME</v>
      </c>
      <c r="R65" s="27">
        <v>5</v>
      </c>
      <c r="S65" s="31">
        <f>CONTROL!$C$6+K65*7</f>
        <v>46152</v>
      </c>
      <c r="T65" s="31">
        <f>CONTROL!$C$6+O65*7</f>
        <v>46152</v>
      </c>
    </row>
    <row r="66" spans="1:20" x14ac:dyDescent="0.4">
      <c r="A66" s="27">
        <v>65</v>
      </c>
      <c r="B66" s="27" t="s">
        <v>109</v>
      </c>
      <c r="C66" s="27">
        <v>8</v>
      </c>
      <c r="D66" s="27" t="s">
        <v>39</v>
      </c>
      <c r="E66" s="28" t="s">
        <v>40</v>
      </c>
      <c r="F66" s="28" t="s">
        <v>136</v>
      </c>
      <c r="G66" s="28" t="s">
        <v>125</v>
      </c>
      <c r="H66" s="27" t="s">
        <v>122</v>
      </c>
      <c r="I66" s="27" t="s">
        <v>118</v>
      </c>
      <c r="J66" s="27" t="s">
        <v>95</v>
      </c>
      <c r="K66" s="27">
        <v>12</v>
      </c>
      <c r="L66" s="27">
        <v>14</v>
      </c>
      <c r="M66" s="27">
        <v>2</v>
      </c>
      <c r="N66" s="29">
        <f>IF(I66="PROC",0,IF(J66="PR",CONTROL!$C$8,IF(J66="BLDG",CONTROL!$C$9,IF(J66="SLP",CONTROL!$C$10,0))))</f>
        <v>0</v>
      </c>
      <c r="O66" s="27">
        <f t="shared" ref="O66:O97" si="6">K66+N66</f>
        <v>12</v>
      </c>
      <c r="P66" s="27">
        <f t="shared" ref="P66:P86" si="7">L66+N66</f>
        <v>14</v>
      </c>
      <c r="Q66" s="30" t="str">
        <f t="shared" ref="Q66:Q86" si="8">IF(N66&gt;0,"DELAYED","ON TIME")</f>
        <v>ON TIME</v>
      </c>
      <c r="R66" s="27">
        <v>6</v>
      </c>
      <c r="S66" s="31">
        <f>CONTROL!$C$6+K66*7</f>
        <v>46166</v>
      </c>
      <c r="T66" s="31">
        <f>CONTROL!$C$6+O66*7</f>
        <v>46166</v>
      </c>
    </row>
    <row r="67" spans="1:20" x14ac:dyDescent="0.4">
      <c r="A67" s="27">
        <v>66</v>
      </c>
      <c r="B67" s="27" t="s">
        <v>109</v>
      </c>
      <c r="C67" s="27">
        <v>8</v>
      </c>
      <c r="D67" s="27" t="s">
        <v>39</v>
      </c>
      <c r="E67" s="28" t="s">
        <v>40</v>
      </c>
      <c r="F67" s="28" t="s">
        <v>136</v>
      </c>
      <c r="G67" s="28" t="s">
        <v>57</v>
      </c>
      <c r="H67" s="27" t="s">
        <v>123</v>
      </c>
      <c r="I67" s="27" t="s">
        <v>118</v>
      </c>
      <c r="J67" s="27" t="s">
        <v>95</v>
      </c>
      <c r="K67" s="27">
        <v>14</v>
      </c>
      <c r="L67" s="27">
        <v>16</v>
      </c>
      <c r="M67" s="27">
        <v>2</v>
      </c>
      <c r="N67" s="29">
        <f>IF(I67="PROC",0,IF(J67="PR",CONTROL!$C$8,IF(J67="BLDG",CONTROL!$C$9,IF(J67="SLP",CONTROL!$C$10,0))))</f>
        <v>0</v>
      </c>
      <c r="O67" s="27">
        <f t="shared" si="6"/>
        <v>14</v>
      </c>
      <c r="P67" s="27">
        <f t="shared" si="7"/>
        <v>16</v>
      </c>
      <c r="Q67" s="30" t="str">
        <f t="shared" si="8"/>
        <v>ON TIME</v>
      </c>
      <c r="R67" s="27">
        <v>7</v>
      </c>
      <c r="S67" s="31">
        <f>CONTROL!$C$6+K67*7</f>
        <v>46180</v>
      </c>
      <c r="T67" s="31">
        <f>CONTROL!$C$6+O67*7</f>
        <v>46180</v>
      </c>
    </row>
    <row r="68" spans="1:20" x14ac:dyDescent="0.4">
      <c r="A68" s="27">
        <v>67</v>
      </c>
      <c r="B68" s="27" t="s">
        <v>109</v>
      </c>
      <c r="C68" s="27">
        <v>9</v>
      </c>
      <c r="D68" s="27" t="s">
        <v>42</v>
      </c>
      <c r="E68" s="28" t="s">
        <v>43</v>
      </c>
      <c r="F68" s="28" t="s">
        <v>137</v>
      </c>
      <c r="G68" s="28" t="s">
        <v>111</v>
      </c>
      <c r="H68" s="27" t="s">
        <v>112</v>
      </c>
      <c r="I68" s="27" t="s">
        <v>113</v>
      </c>
      <c r="J68" s="27" t="s">
        <v>114</v>
      </c>
      <c r="K68" s="27">
        <v>-10</v>
      </c>
      <c r="L68" s="27">
        <v>-4</v>
      </c>
      <c r="M68" s="27">
        <v>6</v>
      </c>
      <c r="N68" s="29">
        <f>IF(I68="PROC",0,IF(J68="PR",CONTROL!$C$8,IF(J68="BLDG",CONTROL!$C$9,IF(J68="SLP",CONTROL!$C$10,0))))</f>
        <v>0</v>
      </c>
      <c r="O68" s="27">
        <f t="shared" si="6"/>
        <v>-10</v>
      </c>
      <c r="P68" s="27">
        <f t="shared" si="7"/>
        <v>-4</v>
      </c>
      <c r="Q68" s="30" t="str">
        <f t="shared" si="8"/>
        <v>ON TIME</v>
      </c>
      <c r="R68" s="27">
        <v>1</v>
      </c>
      <c r="S68" s="31">
        <f>CONTROL!$C$6+K68*7</f>
        <v>46012</v>
      </c>
      <c r="T68" s="31">
        <f>CONTROL!$C$6+O68*7</f>
        <v>46012</v>
      </c>
    </row>
    <row r="69" spans="1:20" x14ac:dyDescent="0.4">
      <c r="A69" s="27">
        <v>68</v>
      </c>
      <c r="B69" s="27" t="s">
        <v>109</v>
      </c>
      <c r="C69" s="27">
        <v>9</v>
      </c>
      <c r="D69" s="27" t="s">
        <v>42</v>
      </c>
      <c r="E69" s="28" t="s">
        <v>43</v>
      </c>
      <c r="F69" s="28" t="s">
        <v>137</v>
      </c>
      <c r="G69" s="28" t="s">
        <v>52</v>
      </c>
      <c r="H69" s="27" t="s">
        <v>115</v>
      </c>
      <c r="I69" s="27" t="s">
        <v>113</v>
      </c>
      <c r="J69" s="27" t="s">
        <v>114</v>
      </c>
      <c r="K69" s="27">
        <v>0</v>
      </c>
      <c r="L69" s="27">
        <v>4</v>
      </c>
      <c r="M69" s="27">
        <v>4</v>
      </c>
      <c r="N69" s="29">
        <f>IF(I69="PROC",0,IF(J69="PR",CONTROL!$C$8,IF(J69="BLDG",CONTROL!$C$9,IF(J69="SLP",CONTROL!$C$10,0))))</f>
        <v>0</v>
      </c>
      <c r="O69" s="27">
        <f t="shared" si="6"/>
        <v>0</v>
      </c>
      <c r="P69" s="27">
        <f t="shared" si="7"/>
        <v>4</v>
      </c>
      <c r="Q69" s="30" t="str">
        <f t="shared" si="8"/>
        <v>ON TIME</v>
      </c>
      <c r="R69" s="27">
        <v>2</v>
      </c>
      <c r="S69" s="31">
        <f>CONTROL!$C$6+K69*7</f>
        <v>46082</v>
      </c>
      <c r="T69" s="31">
        <f>CONTROL!$C$6+O69*7</f>
        <v>46082</v>
      </c>
    </row>
    <row r="70" spans="1:20" x14ac:dyDescent="0.4">
      <c r="A70" s="27">
        <v>69</v>
      </c>
      <c r="B70" s="27" t="s">
        <v>109</v>
      </c>
      <c r="C70" s="27">
        <v>9</v>
      </c>
      <c r="D70" s="27" t="s">
        <v>42</v>
      </c>
      <c r="E70" s="28" t="s">
        <v>43</v>
      </c>
      <c r="F70" s="28" t="s">
        <v>137</v>
      </c>
      <c r="G70" s="28" t="s">
        <v>53</v>
      </c>
      <c r="H70" s="27" t="s">
        <v>116</v>
      </c>
      <c r="I70" s="27" t="s">
        <v>113</v>
      </c>
      <c r="J70" s="27" t="s">
        <v>114</v>
      </c>
      <c r="K70" s="27">
        <v>2</v>
      </c>
      <c r="L70" s="27">
        <v>6</v>
      </c>
      <c r="M70" s="27">
        <v>4</v>
      </c>
      <c r="N70" s="29">
        <f>IF(I70="PROC",0,IF(J70="PR",CONTROL!$C$8,IF(J70="BLDG",CONTROL!$C$9,IF(J70="SLP",CONTROL!$C$10,0))))</f>
        <v>0</v>
      </c>
      <c r="O70" s="27">
        <f t="shared" si="6"/>
        <v>2</v>
      </c>
      <c r="P70" s="27">
        <f t="shared" si="7"/>
        <v>6</v>
      </c>
      <c r="Q70" s="30" t="str">
        <f t="shared" si="8"/>
        <v>ON TIME</v>
      </c>
      <c r="R70" s="27">
        <v>3</v>
      </c>
      <c r="S70" s="31">
        <f>CONTROL!$C$6+K70*7</f>
        <v>46096</v>
      </c>
      <c r="T70" s="31">
        <f>CONTROL!$C$6+O70*7</f>
        <v>46096</v>
      </c>
    </row>
    <row r="71" spans="1:20" x14ac:dyDescent="0.4">
      <c r="A71" s="27">
        <v>70</v>
      </c>
      <c r="B71" s="27" t="s">
        <v>109</v>
      </c>
      <c r="C71" s="27">
        <v>9</v>
      </c>
      <c r="D71" s="27" t="s">
        <v>42</v>
      </c>
      <c r="E71" s="28" t="s">
        <v>43</v>
      </c>
      <c r="F71" s="28" t="s">
        <v>137</v>
      </c>
      <c r="G71" s="28" t="s">
        <v>54</v>
      </c>
      <c r="H71" s="27" t="s">
        <v>117</v>
      </c>
      <c r="I71" s="27" t="s">
        <v>118</v>
      </c>
      <c r="J71" s="27" t="s">
        <v>95</v>
      </c>
      <c r="K71" s="27">
        <v>4</v>
      </c>
      <c r="L71" s="27">
        <v>10</v>
      </c>
      <c r="M71" s="27">
        <v>6</v>
      </c>
      <c r="N71" s="29">
        <f>IF(I71="PROC",0,IF(J71="PR",CONTROL!$C$8,IF(J71="BLDG",CONTROL!$C$9,IF(J71="SLP",CONTROL!$C$10,0))))</f>
        <v>0</v>
      </c>
      <c r="O71" s="27">
        <f t="shared" si="6"/>
        <v>4</v>
      </c>
      <c r="P71" s="27">
        <f t="shared" si="7"/>
        <v>10</v>
      </c>
      <c r="Q71" s="30" t="str">
        <f t="shared" si="8"/>
        <v>ON TIME</v>
      </c>
      <c r="R71" s="27">
        <v>4</v>
      </c>
      <c r="S71" s="31">
        <f>CONTROL!$C$6+K71*7</f>
        <v>46110</v>
      </c>
      <c r="T71" s="31">
        <f>CONTROL!$C$6+O71*7</f>
        <v>46110</v>
      </c>
    </row>
    <row r="72" spans="1:20" x14ac:dyDescent="0.4">
      <c r="A72" s="27">
        <v>71</v>
      </c>
      <c r="B72" s="27" t="s">
        <v>109</v>
      </c>
      <c r="C72" s="27">
        <v>9</v>
      </c>
      <c r="D72" s="27" t="s">
        <v>42</v>
      </c>
      <c r="E72" s="28" t="s">
        <v>43</v>
      </c>
      <c r="F72" s="28" t="s">
        <v>137</v>
      </c>
      <c r="G72" s="28" t="s">
        <v>119</v>
      </c>
      <c r="H72" s="27" t="s">
        <v>120</v>
      </c>
      <c r="I72" s="27" t="s">
        <v>118</v>
      </c>
      <c r="J72" s="27" t="s">
        <v>102</v>
      </c>
      <c r="K72" s="27">
        <v>10</v>
      </c>
      <c r="L72" s="27">
        <v>12</v>
      </c>
      <c r="M72" s="27">
        <v>2</v>
      </c>
      <c r="N72" s="29">
        <f>IF(I72="PROC",0,IF(J72="PR",CONTROL!$C$8,IF(J72="BLDG",CONTROL!$C$9,IF(J72="SLP",CONTROL!$C$10,0))))</f>
        <v>0</v>
      </c>
      <c r="O72" s="27">
        <f t="shared" si="6"/>
        <v>10</v>
      </c>
      <c r="P72" s="27">
        <f t="shared" si="7"/>
        <v>12</v>
      </c>
      <c r="Q72" s="30" t="str">
        <f t="shared" si="8"/>
        <v>ON TIME</v>
      </c>
      <c r="R72" s="27">
        <v>5</v>
      </c>
      <c r="S72" s="31">
        <f>CONTROL!$C$6+K72*7</f>
        <v>46152</v>
      </c>
      <c r="T72" s="31">
        <f>CONTROL!$C$6+O72*7</f>
        <v>46152</v>
      </c>
    </row>
    <row r="73" spans="1:20" x14ac:dyDescent="0.4">
      <c r="A73" s="27">
        <v>72</v>
      </c>
      <c r="B73" s="27" t="s">
        <v>109</v>
      </c>
      <c r="C73" s="27">
        <v>9</v>
      </c>
      <c r="D73" s="27" t="s">
        <v>42</v>
      </c>
      <c r="E73" s="28" t="s">
        <v>43</v>
      </c>
      <c r="F73" s="28" t="s">
        <v>137</v>
      </c>
      <c r="G73" s="28" t="s">
        <v>125</v>
      </c>
      <c r="H73" s="27" t="s">
        <v>122</v>
      </c>
      <c r="I73" s="27" t="s">
        <v>118</v>
      </c>
      <c r="J73" s="27" t="s">
        <v>95</v>
      </c>
      <c r="K73" s="27">
        <v>12</v>
      </c>
      <c r="L73" s="27">
        <v>14</v>
      </c>
      <c r="M73" s="27">
        <v>2</v>
      </c>
      <c r="N73" s="29">
        <f>IF(I73="PROC",0,IF(J73="PR",CONTROL!$C$8,IF(J73="BLDG",CONTROL!$C$9,IF(J73="SLP",CONTROL!$C$10,0))))</f>
        <v>0</v>
      </c>
      <c r="O73" s="27">
        <f t="shared" si="6"/>
        <v>12</v>
      </c>
      <c r="P73" s="27">
        <f t="shared" si="7"/>
        <v>14</v>
      </c>
      <c r="Q73" s="30" t="str">
        <f t="shared" si="8"/>
        <v>ON TIME</v>
      </c>
      <c r="R73" s="27">
        <v>6</v>
      </c>
      <c r="S73" s="31">
        <f>CONTROL!$C$6+K73*7</f>
        <v>46166</v>
      </c>
      <c r="T73" s="31">
        <f>CONTROL!$C$6+O73*7</f>
        <v>46166</v>
      </c>
    </row>
    <row r="74" spans="1:20" x14ac:dyDescent="0.4">
      <c r="A74" s="27">
        <v>73</v>
      </c>
      <c r="B74" s="27" t="s">
        <v>109</v>
      </c>
      <c r="C74" s="27">
        <v>9</v>
      </c>
      <c r="D74" s="27" t="s">
        <v>42</v>
      </c>
      <c r="E74" s="28" t="s">
        <v>43</v>
      </c>
      <c r="F74" s="28" t="s">
        <v>137</v>
      </c>
      <c r="G74" s="28" t="s">
        <v>57</v>
      </c>
      <c r="H74" s="27" t="s">
        <v>123</v>
      </c>
      <c r="I74" s="27" t="s">
        <v>118</v>
      </c>
      <c r="J74" s="27" t="s">
        <v>95</v>
      </c>
      <c r="K74" s="27">
        <v>14</v>
      </c>
      <c r="L74" s="27">
        <v>16</v>
      </c>
      <c r="M74" s="27">
        <v>2</v>
      </c>
      <c r="N74" s="29">
        <f>IF(I74="PROC",0,IF(J74="PR",CONTROL!$C$8,IF(J74="BLDG",CONTROL!$C$9,IF(J74="SLP",CONTROL!$C$10,0))))</f>
        <v>0</v>
      </c>
      <c r="O74" s="27">
        <f t="shared" si="6"/>
        <v>14</v>
      </c>
      <c r="P74" s="27">
        <f t="shared" si="7"/>
        <v>16</v>
      </c>
      <c r="Q74" s="30" t="str">
        <f t="shared" si="8"/>
        <v>ON TIME</v>
      </c>
      <c r="R74" s="27">
        <v>7</v>
      </c>
      <c r="S74" s="31">
        <f>CONTROL!$C$6+K74*7</f>
        <v>46180</v>
      </c>
      <c r="T74" s="31">
        <f>CONTROL!$C$6+O74*7</f>
        <v>46180</v>
      </c>
    </row>
    <row r="75" spans="1:20" x14ac:dyDescent="0.4">
      <c r="A75" s="27">
        <v>74</v>
      </c>
      <c r="B75" s="27" t="s">
        <v>109</v>
      </c>
      <c r="C75" s="27">
        <v>10</v>
      </c>
      <c r="D75" s="27" t="s">
        <v>45</v>
      </c>
      <c r="E75" s="28" t="s">
        <v>46</v>
      </c>
      <c r="F75" s="28" t="s">
        <v>138</v>
      </c>
      <c r="G75" s="28" t="s">
        <v>111</v>
      </c>
      <c r="H75" s="27" t="s">
        <v>112</v>
      </c>
      <c r="I75" s="27" t="s">
        <v>113</v>
      </c>
      <c r="J75" s="27" t="s">
        <v>114</v>
      </c>
      <c r="K75" s="27">
        <v>-8</v>
      </c>
      <c r="L75" s="27">
        <v>-4</v>
      </c>
      <c r="M75" s="27">
        <v>4</v>
      </c>
      <c r="N75" s="29">
        <f>IF(I75="PROC",0,IF(J75="PR",CONTROL!$C$8,IF(J75="BLDG",CONTROL!$C$9,IF(J75="SLP",CONTROL!$C$10,0))))</f>
        <v>0</v>
      </c>
      <c r="O75" s="27">
        <f t="shared" si="6"/>
        <v>-8</v>
      </c>
      <c r="P75" s="27">
        <f t="shared" si="7"/>
        <v>-4</v>
      </c>
      <c r="Q75" s="30" t="str">
        <f t="shared" si="8"/>
        <v>ON TIME</v>
      </c>
      <c r="R75" s="27">
        <v>1</v>
      </c>
      <c r="S75" s="31">
        <f>CONTROL!$C$6+K75*7</f>
        <v>46026</v>
      </c>
      <c r="T75" s="31">
        <f>CONTROL!$C$6+O75*7</f>
        <v>46026</v>
      </c>
    </row>
    <row r="76" spans="1:20" x14ac:dyDescent="0.4">
      <c r="A76" s="27">
        <v>75</v>
      </c>
      <c r="B76" s="27" t="s">
        <v>109</v>
      </c>
      <c r="C76" s="27">
        <v>10</v>
      </c>
      <c r="D76" s="27" t="s">
        <v>45</v>
      </c>
      <c r="E76" s="28" t="s">
        <v>46</v>
      </c>
      <c r="F76" s="28" t="s">
        <v>138</v>
      </c>
      <c r="G76" s="28" t="s">
        <v>52</v>
      </c>
      <c r="H76" s="27" t="s">
        <v>115</v>
      </c>
      <c r="I76" s="27" t="s">
        <v>113</v>
      </c>
      <c r="J76" s="27" t="s">
        <v>114</v>
      </c>
      <c r="K76" s="27">
        <v>0</v>
      </c>
      <c r="L76" s="27">
        <v>4</v>
      </c>
      <c r="M76" s="27">
        <v>4</v>
      </c>
      <c r="N76" s="29">
        <f>IF(I76="PROC",0,IF(J76="PR",CONTROL!$C$8,IF(J76="BLDG",CONTROL!$C$9,IF(J76="SLP",CONTROL!$C$10,0))))</f>
        <v>0</v>
      </c>
      <c r="O76" s="27">
        <f t="shared" si="6"/>
        <v>0</v>
      </c>
      <c r="P76" s="27">
        <f t="shared" si="7"/>
        <v>4</v>
      </c>
      <c r="Q76" s="30" t="str">
        <f t="shared" si="8"/>
        <v>ON TIME</v>
      </c>
      <c r="R76" s="27">
        <v>2</v>
      </c>
      <c r="S76" s="31">
        <f>CONTROL!$C$6+K76*7</f>
        <v>46082</v>
      </c>
      <c r="T76" s="31">
        <f>CONTROL!$C$6+O76*7</f>
        <v>46082</v>
      </c>
    </row>
    <row r="77" spans="1:20" x14ac:dyDescent="0.4">
      <c r="A77" s="27">
        <v>76</v>
      </c>
      <c r="B77" s="27" t="s">
        <v>109</v>
      </c>
      <c r="C77" s="27">
        <v>10</v>
      </c>
      <c r="D77" s="27" t="s">
        <v>45</v>
      </c>
      <c r="E77" s="28" t="s">
        <v>46</v>
      </c>
      <c r="F77" s="28" t="s">
        <v>138</v>
      </c>
      <c r="G77" s="28" t="s">
        <v>54</v>
      </c>
      <c r="H77" s="27" t="s">
        <v>117</v>
      </c>
      <c r="I77" s="27" t="s">
        <v>118</v>
      </c>
      <c r="J77" s="27" t="s">
        <v>95</v>
      </c>
      <c r="K77" s="27">
        <v>2</v>
      </c>
      <c r="L77" s="27">
        <v>8</v>
      </c>
      <c r="M77" s="27">
        <v>6</v>
      </c>
      <c r="N77" s="29">
        <f>IF(I77="PROC",0,IF(J77="PR",CONTROL!$C$8,IF(J77="BLDG",CONTROL!$C$9,IF(J77="SLP",CONTROL!$C$10,0))))</f>
        <v>0</v>
      </c>
      <c r="O77" s="27">
        <f t="shared" si="6"/>
        <v>2</v>
      </c>
      <c r="P77" s="27">
        <f t="shared" si="7"/>
        <v>8</v>
      </c>
      <c r="Q77" s="30" t="str">
        <f t="shared" si="8"/>
        <v>ON TIME</v>
      </c>
      <c r="R77" s="27">
        <v>4</v>
      </c>
      <c r="S77" s="31">
        <f>CONTROL!$C$6+K77*7</f>
        <v>46096</v>
      </c>
      <c r="T77" s="31">
        <f>CONTROL!$C$6+O77*7</f>
        <v>46096</v>
      </c>
    </row>
    <row r="78" spans="1:20" x14ac:dyDescent="0.4">
      <c r="A78" s="27">
        <v>77</v>
      </c>
      <c r="B78" s="27" t="s">
        <v>109</v>
      </c>
      <c r="C78" s="27">
        <v>10</v>
      </c>
      <c r="D78" s="27" t="s">
        <v>45</v>
      </c>
      <c r="E78" s="28" t="s">
        <v>46</v>
      </c>
      <c r="F78" s="28" t="s">
        <v>138</v>
      </c>
      <c r="G78" s="28" t="s">
        <v>119</v>
      </c>
      <c r="H78" s="27" t="s">
        <v>120</v>
      </c>
      <c r="I78" s="27" t="s">
        <v>118</v>
      </c>
      <c r="J78" s="27" t="s">
        <v>102</v>
      </c>
      <c r="K78" s="27">
        <v>8</v>
      </c>
      <c r="L78" s="27">
        <v>10</v>
      </c>
      <c r="M78" s="27">
        <v>2</v>
      </c>
      <c r="N78" s="29">
        <f>IF(I78="PROC",0,IF(J78="PR",CONTROL!$C$8,IF(J78="BLDG",CONTROL!$C$9,IF(J78="SLP",CONTROL!$C$10,0))))</f>
        <v>0</v>
      </c>
      <c r="O78" s="27">
        <f t="shared" si="6"/>
        <v>8</v>
      </c>
      <c r="P78" s="27">
        <f t="shared" si="7"/>
        <v>10</v>
      </c>
      <c r="Q78" s="30" t="str">
        <f t="shared" si="8"/>
        <v>ON TIME</v>
      </c>
      <c r="R78" s="27">
        <v>5</v>
      </c>
      <c r="S78" s="31">
        <f>CONTROL!$C$6+K78*7</f>
        <v>46138</v>
      </c>
      <c r="T78" s="31">
        <f>CONTROL!$C$6+O78*7</f>
        <v>46138</v>
      </c>
    </row>
    <row r="79" spans="1:20" x14ac:dyDescent="0.4">
      <c r="A79" s="27">
        <v>78</v>
      </c>
      <c r="B79" s="27" t="s">
        <v>109</v>
      </c>
      <c r="C79" s="27">
        <v>10</v>
      </c>
      <c r="D79" s="27" t="s">
        <v>45</v>
      </c>
      <c r="E79" s="28" t="s">
        <v>46</v>
      </c>
      <c r="F79" s="28" t="s">
        <v>138</v>
      </c>
      <c r="G79" s="28" t="s">
        <v>125</v>
      </c>
      <c r="H79" s="27" t="s">
        <v>122</v>
      </c>
      <c r="I79" s="27" t="s">
        <v>118</v>
      </c>
      <c r="J79" s="27" t="s">
        <v>95</v>
      </c>
      <c r="K79" s="27">
        <v>10</v>
      </c>
      <c r="L79" s="27">
        <v>12</v>
      </c>
      <c r="M79" s="27">
        <v>2</v>
      </c>
      <c r="N79" s="29">
        <f>IF(I79="PROC",0,IF(J79="PR",CONTROL!$C$8,IF(J79="BLDG",CONTROL!$C$9,IF(J79="SLP",CONTROL!$C$10,0))))</f>
        <v>0</v>
      </c>
      <c r="O79" s="27">
        <f t="shared" si="6"/>
        <v>10</v>
      </c>
      <c r="P79" s="27">
        <f t="shared" si="7"/>
        <v>12</v>
      </c>
      <c r="Q79" s="30" t="str">
        <f t="shared" si="8"/>
        <v>ON TIME</v>
      </c>
      <c r="R79" s="27">
        <v>6</v>
      </c>
      <c r="S79" s="31">
        <f>CONTROL!$C$6+K79*7</f>
        <v>46152</v>
      </c>
      <c r="T79" s="31">
        <f>CONTROL!$C$6+O79*7</f>
        <v>46152</v>
      </c>
    </row>
    <row r="80" spans="1:20" x14ac:dyDescent="0.4">
      <c r="A80" s="27">
        <v>79</v>
      </c>
      <c r="B80" s="27" t="s">
        <v>109</v>
      </c>
      <c r="C80" s="27">
        <v>10</v>
      </c>
      <c r="D80" s="27" t="s">
        <v>45</v>
      </c>
      <c r="E80" s="28" t="s">
        <v>46</v>
      </c>
      <c r="F80" s="28" t="s">
        <v>138</v>
      </c>
      <c r="G80" s="28" t="s">
        <v>57</v>
      </c>
      <c r="H80" s="27" t="s">
        <v>123</v>
      </c>
      <c r="I80" s="27" t="s">
        <v>118</v>
      </c>
      <c r="J80" s="27" t="s">
        <v>95</v>
      </c>
      <c r="K80" s="27">
        <v>12</v>
      </c>
      <c r="L80" s="27">
        <v>14</v>
      </c>
      <c r="M80" s="27">
        <v>2</v>
      </c>
      <c r="N80" s="29">
        <f>IF(I80="PROC",0,IF(J80="PR",CONTROL!$C$8,IF(J80="BLDG",CONTROL!$C$9,IF(J80="SLP",CONTROL!$C$10,0))))</f>
        <v>0</v>
      </c>
      <c r="O80" s="27">
        <f t="shared" si="6"/>
        <v>12</v>
      </c>
      <c r="P80" s="27">
        <f t="shared" si="7"/>
        <v>14</v>
      </c>
      <c r="Q80" s="30" t="str">
        <f t="shared" si="8"/>
        <v>ON TIME</v>
      </c>
      <c r="R80" s="27">
        <v>7</v>
      </c>
      <c r="S80" s="31">
        <f>CONTROL!$C$6+K80*7</f>
        <v>46166</v>
      </c>
      <c r="T80" s="31">
        <f>CONTROL!$C$6+O80*7</f>
        <v>46166</v>
      </c>
    </row>
    <row r="81" spans="1:20" x14ac:dyDescent="0.4">
      <c r="A81" s="27">
        <v>80</v>
      </c>
      <c r="B81" s="27" t="s">
        <v>109</v>
      </c>
      <c r="C81" s="27">
        <v>11</v>
      </c>
      <c r="D81" s="27" t="s">
        <v>48</v>
      </c>
      <c r="E81" s="28" t="s">
        <v>49</v>
      </c>
      <c r="F81" s="28" t="s">
        <v>139</v>
      </c>
      <c r="G81" s="28" t="s">
        <v>111</v>
      </c>
      <c r="H81" s="27" t="s">
        <v>112</v>
      </c>
      <c r="I81" s="27" t="s">
        <v>113</v>
      </c>
      <c r="J81" s="27" t="s">
        <v>114</v>
      </c>
      <c r="K81" s="27">
        <v>-8</v>
      </c>
      <c r="L81" s="27">
        <v>-2</v>
      </c>
      <c r="M81" s="27">
        <v>6</v>
      </c>
      <c r="N81" s="29">
        <f>IF(I81="PROC",0,IF(J81="PR",CONTROL!$C$8,IF(J81="BLDG",CONTROL!$C$9,IF(J81="SLP",CONTROL!$C$10,0))))</f>
        <v>0</v>
      </c>
      <c r="O81" s="27">
        <f t="shared" si="6"/>
        <v>-8</v>
      </c>
      <c r="P81" s="27">
        <f t="shared" si="7"/>
        <v>-2</v>
      </c>
      <c r="Q81" s="30" t="str">
        <f t="shared" si="8"/>
        <v>ON TIME</v>
      </c>
      <c r="R81" s="27">
        <v>1</v>
      </c>
      <c r="S81" s="31">
        <f>CONTROL!$C$6+K81*7</f>
        <v>46026</v>
      </c>
      <c r="T81" s="31">
        <f>CONTROL!$C$6+O81*7</f>
        <v>46026</v>
      </c>
    </row>
    <row r="82" spans="1:20" x14ac:dyDescent="0.4">
      <c r="A82" s="27">
        <v>81</v>
      </c>
      <c r="B82" s="27" t="s">
        <v>109</v>
      </c>
      <c r="C82" s="27">
        <v>11</v>
      </c>
      <c r="D82" s="27" t="s">
        <v>48</v>
      </c>
      <c r="E82" s="28" t="s">
        <v>49</v>
      </c>
      <c r="F82" s="28" t="s">
        <v>139</v>
      </c>
      <c r="G82" s="28" t="s">
        <v>52</v>
      </c>
      <c r="H82" s="27" t="s">
        <v>115</v>
      </c>
      <c r="I82" s="27" t="s">
        <v>113</v>
      </c>
      <c r="J82" s="27" t="s">
        <v>114</v>
      </c>
      <c r="K82" s="27">
        <v>0</v>
      </c>
      <c r="L82" s="27">
        <v>4</v>
      </c>
      <c r="M82" s="27">
        <v>4</v>
      </c>
      <c r="N82" s="29">
        <f>IF(I82="PROC",0,IF(J82="PR",CONTROL!$C$8,IF(J82="BLDG",CONTROL!$C$9,IF(J82="SLP",CONTROL!$C$10,0))))</f>
        <v>0</v>
      </c>
      <c r="O82" s="27">
        <f t="shared" si="6"/>
        <v>0</v>
      </c>
      <c r="P82" s="27">
        <f t="shared" si="7"/>
        <v>4</v>
      </c>
      <c r="Q82" s="30" t="str">
        <f t="shared" si="8"/>
        <v>ON TIME</v>
      </c>
      <c r="R82" s="27">
        <v>2</v>
      </c>
      <c r="S82" s="31">
        <f>CONTROL!$C$6+K82*7</f>
        <v>46082</v>
      </c>
      <c r="T82" s="31">
        <f>CONTROL!$C$6+O82*7</f>
        <v>46082</v>
      </c>
    </row>
    <row r="83" spans="1:20" x14ac:dyDescent="0.4">
      <c r="A83" s="27">
        <v>82</v>
      </c>
      <c r="B83" s="27" t="s">
        <v>109</v>
      </c>
      <c r="C83" s="27">
        <v>11</v>
      </c>
      <c r="D83" s="27" t="s">
        <v>48</v>
      </c>
      <c r="E83" s="28" t="s">
        <v>49</v>
      </c>
      <c r="F83" s="28" t="s">
        <v>139</v>
      </c>
      <c r="G83" s="28" t="s">
        <v>53</v>
      </c>
      <c r="H83" s="27" t="s">
        <v>116</v>
      </c>
      <c r="I83" s="27" t="s">
        <v>113</v>
      </c>
      <c r="J83" s="27" t="s">
        <v>114</v>
      </c>
      <c r="K83" s="27">
        <v>2</v>
      </c>
      <c r="L83" s="27">
        <v>6</v>
      </c>
      <c r="M83" s="27">
        <v>4</v>
      </c>
      <c r="N83" s="29">
        <f>IF(I83="PROC",0,IF(J83="PR",CONTROL!$C$8,IF(J83="BLDG",CONTROL!$C$9,IF(J83="SLP",CONTROL!$C$10,0))))</f>
        <v>0</v>
      </c>
      <c r="O83" s="27">
        <f t="shared" si="6"/>
        <v>2</v>
      </c>
      <c r="P83" s="27">
        <f t="shared" si="7"/>
        <v>6</v>
      </c>
      <c r="Q83" s="30" t="str">
        <f t="shared" si="8"/>
        <v>ON TIME</v>
      </c>
      <c r="R83" s="27">
        <v>3</v>
      </c>
      <c r="S83" s="31">
        <f>CONTROL!$C$6+K83*7</f>
        <v>46096</v>
      </c>
      <c r="T83" s="31">
        <f>CONTROL!$C$6+O83*7</f>
        <v>46096</v>
      </c>
    </row>
    <row r="84" spans="1:20" x14ac:dyDescent="0.4">
      <c r="A84" s="27">
        <v>83</v>
      </c>
      <c r="B84" s="27" t="s">
        <v>109</v>
      </c>
      <c r="C84" s="27">
        <v>11</v>
      </c>
      <c r="D84" s="27" t="s">
        <v>48</v>
      </c>
      <c r="E84" s="28" t="s">
        <v>49</v>
      </c>
      <c r="F84" s="28" t="s">
        <v>139</v>
      </c>
      <c r="G84" s="28" t="s">
        <v>54</v>
      </c>
      <c r="H84" s="27" t="s">
        <v>117</v>
      </c>
      <c r="I84" s="27" t="s">
        <v>118</v>
      </c>
      <c r="J84" s="27" t="s">
        <v>95</v>
      </c>
      <c r="K84" s="27">
        <v>4</v>
      </c>
      <c r="L84" s="27">
        <v>10</v>
      </c>
      <c r="M84" s="27">
        <v>6</v>
      </c>
      <c r="N84" s="29">
        <f>IF(I84="PROC",0,IF(J84="PR",CONTROL!$C$8,IF(J84="BLDG",CONTROL!$C$9,IF(J84="SLP",CONTROL!$C$10,0))))</f>
        <v>0</v>
      </c>
      <c r="O84" s="27">
        <f t="shared" si="6"/>
        <v>4</v>
      </c>
      <c r="P84" s="27">
        <f t="shared" si="7"/>
        <v>10</v>
      </c>
      <c r="Q84" s="30" t="str">
        <f t="shared" si="8"/>
        <v>ON TIME</v>
      </c>
      <c r="R84" s="27">
        <v>4</v>
      </c>
      <c r="S84" s="31">
        <f>CONTROL!$C$6+K84*7</f>
        <v>46110</v>
      </c>
      <c r="T84" s="31">
        <f>CONTROL!$C$6+O84*7</f>
        <v>46110</v>
      </c>
    </row>
    <row r="85" spans="1:20" x14ac:dyDescent="0.4">
      <c r="A85" s="27">
        <v>84</v>
      </c>
      <c r="B85" s="27" t="s">
        <v>109</v>
      </c>
      <c r="C85" s="27">
        <v>11</v>
      </c>
      <c r="D85" s="27" t="s">
        <v>48</v>
      </c>
      <c r="E85" s="28" t="s">
        <v>49</v>
      </c>
      <c r="F85" s="28" t="s">
        <v>139</v>
      </c>
      <c r="G85" s="28" t="s">
        <v>119</v>
      </c>
      <c r="H85" s="27" t="s">
        <v>120</v>
      </c>
      <c r="I85" s="27" t="s">
        <v>118</v>
      </c>
      <c r="J85" s="27" t="s">
        <v>102</v>
      </c>
      <c r="K85" s="27">
        <v>10</v>
      </c>
      <c r="L85" s="27">
        <v>12</v>
      </c>
      <c r="M85" s="27">
        <v>2</v>
      </c>
      <c r="N85" s="29">
        <f>IF(I85="PROC",0,IF(J85="PR",CONTROL!$C$8,IF(J85="BLDG",CONTROL!$C$9,IF(J85="SLP",CONTROL!$C$10,0))))</f>
        <v>0</v>
      </c>
      <c r="O85" s="27">
        <f t="shared" si="6"/>
        <v>10</v>
      </c>
      <c r="P85" s="27">
        <f t="shared" si="7"/>
        <v>12</v>
      </c>
      <c r="Q85" s="30" t="str">
        <f t="shared" si="8"/>
        <v>ON TIME</v>
      </c>
      <c r="R85" s="27">
        <v>5</v>
      </c>
      <c r="S85" s="31">
        <f>CONTROL!$C$6+K85*7</f>
        <v>46152</v>
      </c>
      <c r="T85" s="31">
        <f>CONTROL!$C$6+O85*7</f>
        <v>46152</v>
      </c>
    </row>
    <row r="86" spans="1:20" x14ac:dyDescent="0.4">
      <c r="A86" s="27">
        <v>85</v>
      </c>
      <c r="B86" s="27" t="s">
        <v>109</v>
      </c>
      <c r="C86" s="27">
        <v>11</v>
      </c>
      <c r="D86" s="27" t="s">
        <v>48</v>
      </c>
      <c r="E86" s="28" t="s">
        <v>49</v>
      </c>
      <c r="F86" s="28" t="s">
        <v>139</v>
      </c>
      <c r="G86" s="28" t="s">
        <v>125</v>
      </c>
      <c r="H86" s="27" t="s">
        <v>122</v>
      </c>
      <c r="I86" s="27" t="s">
        <v>118</v>
      </c>
      <c r="J86" s="27" t="s">
        <v>95</v>
      </c>
      <c r="K86" s="27">
        <v>12</v>
      </c>
      <c r="L86" s="27">
        <v>14</v>
      </c>
      <c r="M86" s="27">
        <v>2</v>
      </c>
      <c r="N86" s="29">
        <f>IF(I86="PROC",0,IF(J86="PR",CONTROL!$C$8,IF(J86="BLDG",CONTROL!$C$9,IF(J86="SLP",CONTROL!$C$10,0))))</f>
        <v>0</v>
      </c>
      <c r="O86" s="27">
        <f t="shared" si="6"/>
        <v>12</v>
      </c>
      <c r="P86" s="27">
        <f t="shared" si="7"/>
        <v>14</v>
      </c>
      <c r="Q86" s="30" t="str">
        <f t="shared" si="8"/>
        <v>ON TIME</v>
      </c>
      <c r="R86" s="27">
        <v>6</v>
      </c>
      <c r="S86" s="31">
        <f>CONTROL!$C$6+K86*7</f>
        <v>46166</v>
      </c>
      <c r="T86" s="31">
        <f>CONTROL!$C$6+O86*7</f>
        <v>46166</v>
      </c>
    </row>
  </sheetData>
  <phoneticPr fontId="26" type="noConversion"/>
  <conditionalFormatting sqref="N2:N86">
    <cfRule type="cellIs" dxfId="23" priority="3" operator="greaterThan">
      <formula>0</formula>
    </cfRule>
  </conditionalFormatting>
  <conditionalFormatting sqref="Q2:Q86">
    <cfRule type="cellIs" dxfId="22" priority="1" operator="equal">
      <formula>"DELAYED"</formula>
    </cfRule>
    <cfRule type="cellIs" dxfId="21" priority="2" operator="equal">
      <formula>"ON TIME"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A1:AU104"/>
  <sheetViews>
    <sheetView workbookViewId="0">
      <pane xSplit="12" ySplit="4" topLeftCell="M5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6" customWidth="1"/>
    <col min="2" max="3" width="7" customWidth="1"/>
    <col min="4" max="4" width="26" customWidth="1"/>
    <col min="5" max="5" width="8" customWidth="1"/>
    <col min="6" max="6" width="5" customWidth="1"/>
    <col min="7" max="11" width="6" customWidth="1"/>
    <col min="12" max="12" width="5" customWidth="1"/>
    <col min="13" max="47" width="3.5" customWidth="1"/>
  </cols>
  <sheetData>
    <row r="1" spans="1:47" ht="28.05" customHeight="1" x14ac:dyDescent="0.4">
      <c r="A1" s="66" t="s">
        <v>140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</row>
    <row r="2" spans="1:47" ht="16.05" customHeight="1" x14ac:dyDescent="0.4">
      <c r="A2" s="63" t="s">
        <v>141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</row>
    <row r="3" spans="1:47" ht="16.05" customHeight="1" x14ac:dyDescent="0.4">
      <c r="A3" s="65" t="s">
        <v>142</v>
      </c>
      <c r="B3" s="51"/>
      <c r="C3" s="51"/>
      <c r="D3" s="51"/>
      <c r="E3" s="10" t="s">
        <v>51</v>
      </c>
      <c r="G3" s="11" t="s">
        <v>52</v>
      </c>
      <c r="I3" s="12" t="s">
        <v>53</v>
      </c>
      <c r="K3" s="13" t="s">
        <v>54</v>
      </c>
      <c r="M3" s="14" t="s">
        <v>55</v>
      </c>
      <c r="O3" s="15" t="s">
        <v>56</v>
      </c>
      <c r="Q3" s="16" t="s">
        <v>57</v>
      </c>
      <c r="S3" s="17" t="s">
        <v>58</v>
      </c>
      <c r="U3" s="18" t="s">
        <v>59</v>
      </c>
      <c r="W3" s="19" t="s">
        <v>60</v>
      </c>
      <c r="Y3" s="20" t="s">
        <v>61</v>
      </c>
    </row>
    <row r="4" spans="1:47" ht="28.05" customHeight="1" x14ac:dyDescent="0.4">
      <c r="A4" s="32" t="s">
        <v>143</v>
      </c>
      <c r="B4" s="32" t="s">
        <v>144</v>
      </c>
      <c r="C4" s="32" t="s">
        <v>145</v>
      </c>
      <c r="D4" s="32" t="s">
        <v>146</v>
      </c>
      <c r="E4" s="32" t="s">
        <v>147</v>
      </c>
      <c r="F4" s="32" t="s">
        <v>148</v>
      </c>
      <c r="G4" s="32" t="s">
        <v>149</v>
      </c>
      <c r="H4" s="32" t="s">
        <v>150</v>
      </c>
      <c r="I4" s="32" t="s">
        <v>151</v>
      </c>
      <c r="J4" s="32" t="s">
        <v>152</v>
      </c>
      <c r="K4" s="32" t="s">
        <v>153</v>
      </c>
      <c r="L4" s="32" t="s">
        <v>154</v>
      </c>
      <c r="M4" s="33" t="s">
        <v>155</v>
      </c>
      <c r="N4" s="33" t="s">
        <v>156</v>
      </c>
      <c r="O4" s="33" t="s">
        <v>157</v>
      </c>
      <c r="P4" s="33" t="s">
        <v>158</v>
      </c>
      <c r="Q4" s="33" t="s">
        <v>159</v>
      </c>
      <c r="R4" s="33" t="s">
        <v>160</v>
      </c>
      <c r="S4" s="33" t="s">
        <v>161</v>
      </c>
      <c r="T4" s="33" t="s">
        <v>162</v>
      </c>
      <c r="U4" s="33" t="s">
        <v>163</v>
      </c>
      <c r="V4" s="33" t="s">
        <v>164</v>
      </c>
      <c r="W4" s="33" t="s">
        <v>165</v>
      </c>
      <c r="X4" s="33" t="s">
        <v>166</v>
      </c>
      <c r="Y4" s="33" t="s">
        <v>167</v>
      </c>
      <c r="Z4" s="33" t="s">
        <v>168</v>
      </c>
      <c r="AA4" s="33" t="s">
        <v>169</v>
      </c>
      <c r="AB4" s="33" t="s">
        <v>170</v>
      </c>
      <c r="AC4" s="34" t="s">
        <v>171</v>
      </c>
      <c r="AD4" s="33" t="s">
        <v>172</v>
      </c>
      <c r="AE4" s="33" t="s">
        <v>173</v>
      </c>
      <c r="AF4" s="33" t="s">
        <v>174</v>
      </c>
      <c r="AG4" s="33" t="s">
        <v>175</v>
      </c>
      <c r="AH4" s="33" t="s">
        <v>176</v>
      </c>
      <c r="AI4" s="33" t="s">
        <v>177</v>
      </c>
      <c r="AJ4" s="33" t="s">
        <v>178</v>
      </c>
      <c r="AK4" s="33" t="s">
        <v>179</v>
      </c>
      <c r="AL4" s="33" t="s">
        <v>180</v>
      </c>
      <c r="AM4" s="33" t="s">
        <v>181</v>
      </c>
      <c r="AN4" s="33" t="s">
        <v>182</v>
      </c>
      <c r="AO4" s="33" t="s">
        <v>183</v>
      </c>
      <c r="AP4" s="33" t="s">
        <v>184</v>
      </c>
      <c r="AQ4" s="33" t="s">
        <v>185</v>
      </c>
      <c r="AR4" s="33" t="s">
        <v>186</v>
      </c>
      <c r="AS4" s="33" t="s">
        <v>187</v>
      </c>
      <c r="AT4" s="33" t="s">
        <v>188</v>
      </c>
      <c r="AU4" s="33" t="s">
        <v>189</v>
      </c>
    </row>
    <row r="5" spans="1:47" ht="10.050000000000001" hidden="1" customHeight="1" x14ac:dyDescent="0.4">
      <c r="M5" s="35">
        <v>-32</v>
      </c>
      <c r="N5" s="35">
        <v>-30</v>
      </c>
      <c r="O5" s="35">
        <v>-28</v>
      </c>
      <c r="P5" s="35">
        <v>-26</v>
      </c>
      <c r="Q5" s="35">
        <v>-24</v>
      </c>
      <c r="R5" s="35">
        <v>-22</v>
      </c>
      <c r="S5" s="35">
        <v>-20</v>
      </c>
      <c r="T5" s="35">
        <v>-18</v>
      </c>
      <c r="U5" s="35">
        <v>-16</v>
      </c>
      <c r="V5" s="35">
        <v>-14</v>
      </c>
      <c r="W5" s="35">
        <v>-12</v>
      </c>
      <c r="X5" s="35">
        <v>-10</v>
      </c>
      <c r="Y5" s="35">
        <v>-8</v>
      </c>
      <c r="Z5" s="35">
        <v>-6</v>
      </c>
      <c r="AA5" s="35">
        <v>-4</v>
      </c>
      <c r="AB5" s="35">
        <v>-2</v>
      </c>
      <c r="AC5" s="35">
        <v>0</v>
      </c>
      <c r="AD5" s="35">
        <v>2</v>
      </c>
      <c r="AE5" s="35">
        <v>4</v>
      </c>
      <c r="AF5" s="35">
        <v>6</v>
      </c>
      <c r="AG5" s="35">
        <v>8</v>
      </c>
      <c r="AH5" s="35">
        <v>10</v>
      </c>
      <c r="AI5" s="35">
        <v>12</v>
      </c>
      <c r="AJ5" s="35">
        <v>14</v>
      </c>
      <c r="AK5" s="35">
        <v>16</v>
      </c>
      <c r="AL5" s="35">
        <v>18</v>
      </c>
      <c r="AM5" s="35">
        <v>20</v>
      </c>
      <c r="AN5" s="35">
        <v>22</v>
      </c>
      <c r="AO5" s="35">
        <v>24</v>
      </c>
      <c r="AP5" s="35">
        <v>26</v>
      </c>
      <c r="AQ5" s="35">
        <v>28</v>
      </c>
      <c r="AR5" s="35">
        <v>30</v>
      </c>
      <c r="AS5" s="35">
        <v>32</v>
      </c>
      <c r="AT5" s="35">
        <v>34</v>
      </c>
      <c r="AU5" s="35">
        <v>36</v>
      </c>
    </row>
    <row r="6" spans="1:47" ht="18" customHeight="1" x14ac:dyDescent="0.4">
      <c r="A6" s="68" t="s">
        <v>190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</row>
    <row r="7" spans="1:47" ht="13.95" customHeight="1" x14ac:dyDescent="0.4">
      <c r="A7" s="36">
        <v>1</v>
      </c>
      <c r="B7" s="36" t="s">
        <v>84</v>
      </c>
      <c r="C7" s="36" t="s">
        <v>85</v>
      </c>
      <c r="D7" s="37" t="s">
        <v>86</v>
      </c>
      <c r="E7" s="36" t="s">
        <v>84</v>
      </c>
      <c r="F7" s="36">
        <v>8</v>
      </c>
      <c r="G7" s="36">
        <f>DATA!K2</f>
        <v>-28</v>
      </c>
      <c r="H7" s="36">
        <f>DATA!L2</f>
        <v>-20</v>
      </c>
      <c r="I7" s="36">
        <f>DATA!O2</f>
        <v>-28</v>
      </c>
      <c r="J7" s="36">
        <f>DATA!P2</f>
        <v>-20</v>
      </c>
      <c r="K7" s="36">
        <f>DATA!N2</f>
        <v>0</v>
      </c>
      <c r="L7" s="36">
        <v>8</v>
      </c>
      <c r="M7" s="38">
        <f t="shared" ref="M7:V16" si="0">IF(AND(M$5&gt;=$I7,M$5&lt;$J7),IF(AND(M$5&gt;=$G7,M$5&lt;$H7),$L7,$L7+100),IF(AND(M$5&gt;=$G7,M$5&lt;$H7),-1,0))</f>
        <v>0</v>
      </c>
      <c r="N7" s="38">
        <f t="shared" si="0"/>
        <v>0</v>
      </c>
      <c r="O7" s="38">
        <f t="shared" si="0"/>
        <v>8</v>
      </c>
      <c r="P7" s="38">
        <f t="shared" si="0"/>
        <v>8</v>
      </c>
      <c r="Q7" s="38">
        <f t="shared" si="0"/>
        <v>8</v>
      </c>
      <c r="R7" s="38">
        <f t="shared" si="0"/>
        <v>8</v>
      </c>
      <c r="S7" s="38">
        <f t="shared" si="0"/>
        <v>0</v>
      </c>
      <c r="T7" s="38">
        <f t="shared" si="0"/>
        <v>0</v>
      </c>
      <c r="U7" s="38">
        <f t="shared" si="0"/>
        <v>0</v>
      </c>
      <c r="V7" s="38">
        <f t="shared" si="0"/>
        <v>0</v>
      </c>
      <c r="W7" s="38">
        <f t="shared" ref="W7:AF16" si="1">IF(AND(W$5&gt;=$I7,W$5&lt;$J7),IF(AND(W$5&gt;=$G7,W$5&lt;$H7),$L7,$L7+100),IF(AND(W$5&gt;=$G7,W$5&lt;$H7),-1,0))</f>
        <v>0</v>
      </c>
      <c r="X7" s="38">
        <f t="shared" si="1"/>
        <v>0</v>
      </c>
      <c r="Y7" s="38">
        <f t="shared" si="1"/>
        <v>0</v>
      </c>
      <c r="Z7" s="38">
        <f t="shared" si="1"/>
        <v>0</v>
      </c>
      <c r="AA7" s="38">
        <f t="shared" si="1"/>
        <v>0</v>
      </c>
      <c r="AB7" s="38">
        <f t="shared" si="1"/>
        <v>0</v>
      </c>
      <c r="AC7" s="39">
        <f t="shared" si="1"/>
        <v>0</v>
      </c>
      <c r="AD7" s="38">
        <f t="shared" si="1"/>
        <v>0</v>
      </c>
      <c r="AE7" s="38">
        <f t="shared" si="1"/>
        <v>0</v>
      </c>
      <c r="AF7" s="38">
        <f t="shared" si="1"/>
        <v>0</v>
      </c>
      <c r="AG7" s="38">
        <f t="shared" ref="AG7:AU16" si="2">IF(AND(AG$5&gt;=$I7,AG$5&lt;$J7),IF(AND(AG$5&gt;=$G7,AG$5&lt;$H7),$L7,$L7+100),IF(AND(AG$5&gt;=$G7,AG$5&lt;$H7),-1,0))</f>
        <v>0</v>
      </c>
      <c r="AH7" s="38">
        <f t="shared" si="2"/>
        <v>0</v>
      </c>
      <c r="AI7" s="38">
        <f t="shared" si="2"/>
        <v>0</v>
      </c>
      <c r="AJ7" s="38">
        <f t="shared" si="2"/>
        <v>0</v>
      </c>
      <c r="AK7" s="38">
        <f t="shared" si="2"/>
        <v>0</v>
      </c>
      <c r="AL7" s="38">
        <f t="shared" si="2"/>
        <v>0</v>
      </c>
      <c r="AM7" s="38">
        <f t="shared" si="2"/>
        <v>0</v>
      </c>
      <c r="AN7" s="38">
        <f t="shared" si="2"/>
        <v>0</v>
      </c>
      <c r="AO7" s="38">
        <f t="shared" si="2"/>
        <v>0</v>
      </c>
      <c r="AP7" s="38">
        <f t="shared" si="2"/>
        <v>0</v>
      </c>
      <c r="AQ7" s="38">
        <f t="shared" si="2"/>
        <v>0</v>
      </c>
      <c r="AR7" s="38">
        <f t="shared" si="2"/>
        <v>0</v>
      </c>
      <c r="AS7" s="38">
        <f t="shared" si="2"/>
        <v>0</v>
      </c>
      <c r="AT7" s="38">
        <f t="shared" si="2"/>
        <v>0</v>
      </c>
      <c r="AU7" s="38">
        <f t="shared" si="2"/>
        <v>0</v>
      </c>
    </row>
    <row r="8" spans="1:47" ht="13.95" customHeight="1" x14ac:dyDescent="0.4">
      <c r="A8" s="36">
        <v>2</v>
      </c>
      <c r="B8" s="36" t="s">
        <v>84</v>
      </c>
      <c r="C8" s="36" t="s">
        <v>85</v>
      </c>
      <c r="D8" s="37" t="s">
        <v>89</v>
      </c>
      <c r="E8" s="36" t="s">
        <v>84</v>
      </c>
      <c r="F8" s="36">
        <v>12</v>
      </c>
      <c r="G8" s="36">
        <f>DATA!K3</f>
        <v>-24</v>
      </c>
      <c r="H8" s="36">
        <f>DATA!L3</f>
        <v>-12</v>
      </c>
      <c r="I8" s="36">
        <f>DATA!O3</f>
        <v>-24</v>
      </c>
      <c r="J8" s="36">
        <f>DATA!P3</f>
        <v>-12</v>
      </c>
      <c r="K8" s="36">
        <f>DATA!N3</f>
        <v>0</v>
      </c>
      <c r="L8" s="36">
        <v>8</v>
      </c>
      <c r="M8" s="38">
        <f t="shared" si="0"/>
        <v>0</v>
      </c>
      <c r="N8" s="38">
        <f t="shared" si="0"/>
        <v>0</v>
      </c>
      <c r="O8" s="38">
        <f t="shared" si="0"/>
        <v>0</v>
      </c>
      <c r="P8" s="38">
        <f t="shared" si="0"/>
        <v>0</v>
      </c>
      <c r="Q8" s="38">
        <f t="shared" si="0"/>
        <v>8</v>
      </c>
      <c r="R8" s="38">
        <f t="shared" si="0"/>
        <v>8</v>
      </c>
      <c r="S8" s="38">
        <f t="shared" si="0"/>
        <v>8</v>
      </c>
      <c r="T8" s="38">
        <f t="shared" si="0"/>
        <v>8</v>
      </c>
      <c r="U8" s="38">
        <f t="shared" si="0"/>
        <v>8</v>
      </c>
      <c r="V8" s="38">
        <f t="shared" si="0"/>
        <v>8</v>
      </c>
      <c r="W8" s="38">
        <f t="shared" si="1"/>
        <v>0</v>
      </c>
      <c r="X8" s="38">
        <f t="shared" si="1"/>
        <v>0</v>
      </c>
      <c r="Y8" s="38">
        <f t="shared" si="1"/>
        <v>0</v>
      </c>
      <c r="Z8" s="38">
        <f t="shared" si="1"/>
        <v>0</v>
      </c>
      <c r="AA8" s="38">
        <f t="shared" si="1"/>
        <v>0</v>
      </c>
      <c r="AB8" s="38">
        <f t="shared" si="1"/>
        <v>0</v>
      </c>
      <c r="AC8" s="39">
        <f t="shared" si="1"/>
        <v>0</v>
      </c>
      <c r="AD8" s="38">
        <f t="shared" si="1"/>
        <v>0</v>
      </c>
      <c r="AE8" s="38">
        <f t="shared" si="1"/>
        <v>0</v>
      </c>
      <c r="AF8" s="38">
        <f t="shared" si="1"/>
        <v>0</v>
      </c>
      <c r="AG8" s="38">
        <f t="shared" si="2"/>
        <v>0</v>
      </c>
      <c r="AH8" s="38">
        <f t="shared" si="2"/>
        <v>0</v>
      </c>
      <c r="AI8" s="38">
        <f t="shared" si="2"/>
        <v>0</v>
      </c>
      <c r="AJ8" s="38">
        <f t="shared" si="2"/>
        <v>0</v>
      </c>
      <c r="AK8" s="38">
        <f t="shared" si="2"/>
        <v>0</v>
      </c>
      <c r="AL8" s="38">
        <f t="shared" si="2"/>
        <v>0</v>
      </c>
      <c r="AM8" s="38">
        <f t="shared" si="2"/>
        <v>0</v>
      </c>
      <c r="AN8" s="38">
        <f t="shared" si="2"/>
        <v>0</v>
      </c>
      <c r="AO8" s="38">
        <f t="shared" si="2"/>
        <v>0</v>
      </c>
      <c r="AP8" s="38">
        <f t="shared" si="2"/>
        <v>0</v>
      </c>
      <c r="AQ8" s="38">
        <f t="shared" si="2"/>
        <v>0</v>
      </c>
      <c r="AR8" s="38">
        <f t="shared" si="2"/>
        <v>0</v>
      </c>
      <c r="AS8" s="38">
        <f t="shared" si="2"/>
        <v>0</v>
      </c>
      <c r="AT8" s="38">
        <f t="shared" si="2"/>
        <v>0</v>
      </c>
      <c r="AU8" s="38">
        <f t="shared" si="2"/>
        <v>0</v>
      </c>
    </row>
    <row r="9" spans="1:47" ht="13.95" customHeight="1" x14ac:dyDescent="0.4">
      <c r="A9" s="36">
        <v>3</v>
      </c>
      <c r="B9" s="36" t="s">
        <v>84</v>
      </c>
      <c r="C9" s="36" t="s">
        <v>85</v>
      </c>
      <c r="D9" s="37" t="s">
        <v>91</v>
      </c>
      <c r="E9" s="36" t="s">
        <v>84</v>
      </c>
      <c r="F9" s="36">
        <v>8</v>
      </c>
      <c r="G9" s="36">
        <f>DATA!K4</f>
        <v>-14</v>
      </c>
      <c r="H9" s="36">
        <f>DATA!L4</f>
        <v>-6</v>
      </c>
      <c r="I9" s="36">
        <f>DATA!O4</f>
        <v>-14</v>
      </c>
      <c r="J9" s="36">
        <f>DATA!P4</f>
        <v>-6</v>
      </c>
      <c r="K9" s="36">
        <f>DATA!N4</f>
        <v>0</v>
      </c>
      <c r="L9" s="36">
        <v>8</v>
      </c>
      <c r="M9" s="38">
        <f t="shared" si="0"/>
        <v>0</v>
      </c>
      <c r="N9" s="38">
        <f t="shared" si="0"/>
        <v>0</v>
      </c>
      <c r="O9" s="38">
        <f t="shared" si="0"/>
        <v>0</v>
      </c>
      <c r="P9" s="38">
        <f t="shared" si="0"/>
        <v>0</v>
      </c>
      <c r="Q9" s="38">
        <f t="shared" si="0"/>
        <v>0</v>
      </c>
      <c r="R9" s="38">
        <f t="shared" si="0"/>
        <v>0</v>
      </c>
      <c r="S9" s="38">
        <f t="shared" si="0"/>
        <v>0</v>
      </c>
      <c r="T9" s="38">
        <f t="shared" si="0"/>
        <v>0</v>
      </c>
      <c r="U9" s="38">
        <f t="shared" si="0"/>
        <v>0</v>
      </c>
      <c r="V9" s="38">
        <f t="shared" si="0"/>
        <v>8</v>
      </c>
      <c r="W9" s="38">
        <f t="shared" si="1"/>
        <v>8</v>
      </c>
      <c r="X9" s="38">
        <f t="shared" si="1"/>
        <v>8</v>
      </c>
      <c r="Y9" s="38">
        <f t="shared" si="1"/>
        <v>8</v>
      </c>
      <c r="Z9" s="38">
        <f t="shared" si="1"/>
        <v>0</v>
      </c>
      <c r="AA9" s="38">
        <f t="shared" si="1"/>
        <v>0</v>
      </c>
      <c r="AB9" s="38">
        <f t="shared" si="1"/>
        <v>0</v>
      </c>
      <c r="AC9" s="39">
        <f t="shared" si="1"/>
        <v>0</v>
      </c>
      <c r="AD9" s="38">
        <f t="shared" si="1"/>
        <v>0</v>
      </c>
      <c r="AE9" s="38">
        <f t="shared" si="1"/>
        <v>0</v>
      </c>
      <c r="AF9" s="38">
        <f t="shared" si="1"/>
        <v>0</v>
      </c>
      <c r="AG9" s="38">
        <f t="shared" si="2"/>
        <v>0</v>
      </c>
      <c r="AH9" s="38">
        <f t="shared" si="2"/>
        <v>0</v>
      </c>
      <c r="AI9" s="38">
        <f t="shared" si="2"/>
        <v>0</v>
      </c>
      <c r="AJ9" s="38">
        <f t="shared" si="2"/>
        <v>0</v>
      </c>
      <c r="AK9" s="38">
        <f t="shared" si="2"/>
        <v>0</v>
      </c>
      <c r="AL9" s="38">
        <f t="shared" si="2"/>
        <v>0</v>
      </c>
      <c r="AM9" s="38">
        <f t="shared" si="2"/>
        <v>0</v>
      </c>
      <c r="AN9" s="38">
        <f t="shared" si="2"/>
        <v>0</v>
      </c>
      <c r="AO9" s="38">
        <f t="shared" si="2"/>
        <v>0</v>
      </c>
      <c r="AP9" s="38">
        <f t="shared" si="2"/>
        <v>0</v>
      </c>
      <c r="AQ9" s="38">
        <f t="shared" si="2"/>
        <v>0</v>
      </c>
      <c r="AR9" s="38">
        <f t="shared" si="2"/>
        <v>0</v>
      </c>
      <c r="AS9" s="38">
        <f t="shared" si="2"/>
        <v>0</v>
      </c>
      <c r="AT9" s="38">
        <f t="shared" si="2"/>
        <v>0</v>
      </c>
      <c r="AU9" s="38">
        <f t="shared" si="2"/>
        <v>0</v>
      </c>
    </row>
    <row r="10" spans="1:47" ht="13.95" customHeight="1" x14ac:dyDescent="0.4">
      <c r="A10" s="36">
        <v>4</v>
      </c>
      <c r="B10" s="36" t="s">
        <v>84</v>
      </c>
      <c r="C10" s="36" t="s">
        <v>85</v>
      </c>
      <c r="D10" s="37" t="s">
        <v>93</v>
      </c>
      <c r="E10" s="36" t="s">
        <v>84</v>
      </c>
      <c r="F10" s="36">
        <v>4</v>
      </c>
      <c r="G10" s="36">
        <f>DATA!K5</f>
        <v>-6</v>
      </c>
      <c r="H10" s="36">
        <f>DATA!L5</f>
        <v>-2</v>
      </c>
      <c r="I10" s="36">
        <f>DATA!O5</f>
        <v>-6</v>
      </c>
      <c r="J10" s="36">
        <f>DATA!P5</f>
        <v>-2</v>
      </c>
      <c r="K10" s="36">
        <f>DATA!N5</f>
        <v>0</v>
      </c>
      <c r="L10" s="36">
        <v>8</v>
      </c>
      <c r="M10" s="38">
        <f t="shared" si="0"/>
        <v>0</v>
      </c>
      <c r="N10" s="38">
        <f t="shared" si="0"/>
        <v>0</v>
      </c>
      <c r="O10" s="38">
        <f t="shared" si="0"/>
        <v>0</v>
      </c>
      <c r="P10" s="38">
        <f t="shared" si="0"/>
        <v>0</v>
      </c>
      <c r="Q10" s="38">
        <f t="shared" si="0"/>
        <v>0</v>
      </c>
      <c r="R10" s="38">
        <f t="shared" si="0"/>
        <v>0</v>
      </c>
      <c r="S10" s="38">
        <f t="shared" si="0"/>
        <v>0</v>
      </c>
      <c r="T10" s="38">
        <f t="shared" si="0"/>
        <v>0</v>
      </c>
      <c r="U10" s="38">
        <f t="shared" si="0"/>
        <v>0</v>
      </c>
      <c r="V10" s="38">
        <f t="shared" si="0"/>
        <v>0</v>
      </c>
      <c r="W10" s="38">
        <f t="shared" si="1"/>
        <v>0</v>
      </c>
      <c r="X10" s="38">
        <f t="shared" si="1"/>
        <v>0</v>
      </c>
      <c r="Y10" s="38">
        <f t="shared" si="1"/>
        <v>0</v>
      </c>
      <c r="Z10" s="38">
        <f t="shared" si="1"/>
        <v>8</v>
      </c>
      <c r="AA10" s="38">
        <f t="shared" si="1"/>
        <v>8</v>
      </c>
      <c r="AB10" s="38">
        <f t="shared" si="1"/>
        <v>0</v>
      </c>
      <c r="AC10" s="39">
        <f t="shared" si="1"/>
        <v>0</v>
      </c>
      <c r="AD10" s="38">
        <f t="shared" si="1"/>
        <v>0</v>
      </c>
      <c r="AE10" s="38">
        <f t="shared" si="1"/>
        <v>0</v>
      </c>
      <c r="AF10" s="38">
        <f t="shared" si="1"/>
        <v>0</v>
      </c>
      <c r="AG10" s="38">
        <f t="shared" si="2"/>
        <v>0</v>
      </c>
      <c r="AH10" s="38">
        <f t="shared" si="2"/>
        <v>0</v>
      </c>
      <c r="AI10" s="38">
        <f t="shared" si="2"/>
        <v>0</v>
      </c>
      <c r="AJ10" s="38">
        <f t="shared" si="2"/>
        <v>0</v>
      </c>
      <c r="AK10" s="38">
        <f t="shared" si="2"/>
        <v>0</v>
      </c>
      <c r="AL10" s="38">
        <f t="shared" si="2"/>
        <v>0</v>
      </c>
      <c r="AM10" s="38">
        <f t="shared" si="2"/>
        <v>0</v>
      </c>
      <c r="AN10" s="38">
        <f t="shared" si="2"/>
        <v>0</v>
      </c>
      <c r="AO10" s="38">
        <f t="shared" si="2"/>
        <v>0</v>
      </c>
      <c r="AP10" s="38">
        <f t="shared" si="2"/>
        <v>0</v>
      </c>
      <c r="AQ10" s="38">
        <f t="shared" si="2"/>
        <v>0</v>
      </c>
      <c r="AR10" s="38">
        <f t="shared" si="2"/>
        <v>0</v>
      </c>
      <c r="AS10" s="38">
        <f t="shared" si="2"/>
        <v>0</v>
      </c>
      <c r="AT10" s="38">
        <f t="shared" si="2"/>
        <v>0</v>
      </c>
      <c r="AU10" s="38">
        <f t="shared" si="2"/>
        <v>0</v>
      </c>
    </row>
    <row r="11" spans="1:47" ht="13.95" customHeight="1" x14ac:dyDescent="0.4">
      <c r="A11" s="36">
        <v>5</v>
      </c>
      <c r="B11" s="36" t="s">
        <v>84</v>
      </c>
      <c r="C11" s="36" t="s">
        <v>95</v>
      </c>
      <c r="D11" s="37" t="s">
        <v>97</v>
      </c>
      <c r="E11" s="36" t="s">
        <v>84</v>
      </c>
      <c r="F11" s="36">
        <v>6</v>
      </c>
      <c r="G11" s="36">
        <f>DATA!K6</f>
        <v>-28</v>
      </c>
      <c r="H11" s="36">
        <f>DATA!L6</f>
        <v>-22</v>
      </c>
      <c r="I11" s="36">
        <f>DATA!O6</f>
        <v>-28</v>
      </c>
      <c r="J11" s="36">
        <f>DATA!P6</f>
        <v>-22</v>
      </c>
      <c r="K11" s="36">
        <f>DATA!N6</f>
        <v>0</v>
      </c>
      <c r="L11" s="36">
        <v>9</v>
      </c>
      <c r="M11" s="38">
        <f t="shared" si="0"/>
        <v>0</v>
      </c>
      <c r="N11" s="38">
        <f t="shared" si="0"/>
        <v>0</v>
      </c>
      <c r="O11" s="38">
        <f t="shared" si="0"/>
        <v>9</v>
      </c>
      <c r="P11" s="38">
        <f t="shared" si="0"/>
        <v>9</v>
      </c>
      <c r="Q11" s="38">
        <f t="shared" si="0"/>
        <v>9</v>
      </c>
      <c r="R11" s="38">
        <f t="shared" si="0"/>
        <v>0</v>
      </c>
      <c r="S11" s="38">
        <f t="shared" si="0"/>
        <v>0</v>
      </c>
      <c r="T11" s="38">
        <f t="shared" si="0"/>
        <v>0</v>
      </c>
      <c r="U11" s="38">
        <f t="shared" si="0"/>
        <v>0</v>
      </c>
      <c r="V11" s="38">
        <f t="shared" si="0"/>
        <v>0</v>
      </c>
      <c r="W11" s="38">
        <f t="shared" si="1"/>
        <v>0</v>
      </c>
      <c r="X11" s="38">
        <f t="shared" si="1"/>
        <v>0</v>
      </c>
      <c r="Y11" s="38">
        <f t="shared" si="1"/>
        <v>0</v>
      </c>
      <c r="Z11" s="38">
        <f t="shared" si="1"/>
        <v>0</v>
      </c>
      <c r="AA11" s="38">
        <f t="shared" si="1"/>
        <v>0</v>
      </c>
      <c r="AB11" s="38">
        <f t="shared" si="1"/>
        <v>0</v>
      </c>
      <c r="AC11" s="39">
        <f t="shared" si="1"/>
        <v>0</v>
      </c>
      <c r="AD11" s="38">
        <f t="shared" si="1"/>
        <v>0</v>
      </c>
      <c r="AE11" s="38">
        <f t="shared" si="1"/>
        <v>0</v>
      </c>
      <c r="AF11" s="38">
        <f t="shared" si="1"/>
        <v>0</v>
      </c>
      <c r="AG11" s="38">
        <f t="shared" si="2"/>
        <v>0</v>
      </c>
      <c r="AH11" s="38">
        <f t="shared" si="2"/>
        <v>0</v>
      </c>
      <c r="AI11" s="38">
        <f t="shared" si="2"/>
        <v>0</v>
      </c>
      <c r="AJ11" s="38">
        <f t="shared" si="2"/>
        <v>0</v>
      </c>
      <c r="AK11" s="38">
        <f t="shared" si="2"/>
        <v>0</v>
      </c>
      <c r="AL11" s="38">
        <f t="shared" si="2"/>
        <v>0</v>
      </c>
      <c r="AM11" s="38">
        <f t="shared" si="2"/>
        <v>0</v>
      </c>
      <c r="AN11" s="38">
        <f t="shared" si="2"/>
        <v>0</v>
      </c>
      <c r="AO11" s="38">
        <f t="shared" si="2"/>
        <v>0</v>
      </c>
      <c r="AP11" s="38">
        <f t="shared" si="2"/>
        <v>0</v>
      </c>
      <c r="AQ11" s="38">
        <f t="shared" si="2"/>
        <v>0</v>
      </c>
      <c r="AR11" s="38">
        <f t="shared" si="2"/>
        <v>0</v>
      </c>
      <c r="AS11" s="38">
        <f t="shared" si="2"/>
        <v>0</v>
      </c>
      <c r="AT11" s="38">
        <f t="shared" si="2"/>
        <v>0</v>
      </c>
      <c r="AU11" s="38">
        <f t="shared" si="2"/>
        <v>0</v>
      </c>
    </row>
    <row r="12" spans="1:47" ht="13.95" customHeight="1" x14ac:dyDescent="0.4">
      <c r="A12" s="36">
        <v>6</v>
      </c>
      <c r="B12" s="36" t="s">
        <v>84</v>
      </c>
      <c r="C12" s="36" t="s">
        <v>95</v>
      </c>
      <c r="D12" s="37" t="s">
        <v>98</v>
      </c>
      <c r="E12" s="36" t="s">
        <v>84</v>
      </c>
      <c r="F12" s="36">
        <v>8</v>
      </c>
      <c r="G12" s="36">
        <f>DATA!K7</f>
        <v>-22</v>
      </c>
      <c r="H12" s="36">
        <f>DATA!L7</f>
        <v>-14</v>
      </c>
      <c r="I12" s="36">
        <f>DATA!O7</f>
        <v>-22</v>
      </c>
      <c r="J12" s="36">
        <f>DATA!P7</f>
        <v>-14</v>
      </c>
      <c r="K12" s="36">
        <f>DATA!N7</f>
        <v>0</v>
      </c>
      <c r="L12" s="36">
        <v>9</v>
      </c>
      <c r="M12" s="38">
        <f t="shared" si="0"/>
        <v>0</v>
      </c>
      <c r="N12" s="38">
        <f t="shared" si="0"/>
        <v>0</v>
      </c>
      <c r="O12" s="38">
        <f t="shared" si="0"/>
        <v>0</v>
      </c>
      <c r="P12" s="38">
        <f t="shared" si="0"/>
        <v>0</v>
      </c>
      <c r="Q12" s="38">
        <f t="shared" si="0"/>
        <v>0</v>
      </c>
      <c r="R12" s="38">
        <f t="shared" si="0"/>
        <v>9</v>
      </c>
      <c r="S12" s="38">
        <f t="shared" si="0"/>
        <v>9</v>
      </c>
      <c r="T12" s="38">
        <f t="shared" si="0"/>
        <v>9</v>
      </c>
      <c r="U12" s="38">
        <f t="shared" si="0"/>
        <v>9</v>
      </c>
      <c r="V12" s="38">
        <f t="shared" si="0"/>
        <v>0</v>
      </c>
      <c r="W12" s="38">
        <f t="shared" si="1"/>
        <v>0</v>
      </c>
      <c r="X12" s="38">
        <f t="shared" si="1"/>
        <v>0</v>
      </c>
      <c r="Y12" s="38">
        <f t="shared" si="1"/>
        <v>0</v>
      </c>
      <c r="Z12" s="38">
        <f t="shared" si="1"/>
        <v>0</v>
      </c>
      <c r="AA12" s="38">
        <f t="shared" si="1"/>
        <v>0</v>
      </c>
      <c r="AB12" s="38">
        <f t="shared" si="1"/>
        <v>0</v>
      </c>
      <c r="AC12" s="39">
        <f t="shared" si="1"/>
        <v>0</v>
      </c>
      <c r="AD12" s="38">
        <f t="shared" si="1"/>
        <v>0</v>
      </c>
      <c r="AE12" s="38">
        <f t="shared" si="1"/>
        <v>0</v>
      </c>
      <c r="AF12" s="38">
        <f t="shared" si="1"/>
        <v>0</v>
      </c>
      <c r="AG12" s="38">
        <f t="shared" si="2"/>
        <v>0</v>
      </c>
      <c r="AH12" s="38">
        <f t="shared" si="2"/>
        <v>0</v>
      </c>
      <c r="AI12" s="38">
        <f t="shared" si="2"/>
        <v>0</v>
      </c>
      <c r="AJ12" s="38">
        <f t="shared" si="2"/>
        <v>0</v>
      </c>
      <c r="AK12" s="38">
        <f t="shared" si="2"/>
        <v>0</v>
      </c>
      <c r="AL12" s="38">
        <f t="shared" si="2"/>
        <v>0</v>
      </c>
      <c r="AM12" s="38">
        <f t="shared" si="2"/>
        <v>0</v>
      </c>
      <c r="AN12" s="38">
        <f t="shared" si="2"/>
        <v>0</v>
      </c>
      <c r="AO12" s="38">
        <f t="shared" si="2"/>
        <v>0</v>
      </c>
      <c r="AP12" s="38">
        <f t="shared" si="2"/>
        <v>0</v>
      </c>
      <c r="AQ12" s="38">
        <f t="shared" si="2"/>
        <v>0</v>
      </c>
      <c r="AR12" s="38">
        <f t="shared" si="2"/>
        <v>0</v>
      </c>
      <c r="AS12" s="38">
        <f t="shared" si="2"/>
        <v>0</v>
      </c>
      <c r="AT12" s="38">
        <f t="shared" si="2"/>
        <v>0</v>
      </c>
      <c r="AU12" s="38">
        <f t="shared" si="2"/>
        <v>0</v>
      </c>
    </row>
    <row r="13" spans="1:47" ht="13.95" customHeight="1" x14ac:dyDescent="0.4">
      <c r="A13" s="36">
        <v>7</v>
      </c>
      <c r="B13" s="36" t="s">
        <v>84</v>
      </c>
      <c r="C13" s="36" t="s">
        <v>95</v>
      </c>
      <c r="D13" s="37" t="s">
        <v>100</v>
      </c>
      <c r="E13" s="36" t="s">
        <v>84</v>
      </c>
      <c r="F13" s="36">
        <v>8</v>
      </c>
      <c r="G13" s="36">
        <f>DATA!K8</f>
        <v>-14</v>
      </c>
      <c r="H13" s="36">
        <f>DATA!L8</f>
        <v>-6</v>
      </c>
      <c r="I13" s="36">
        <f>DATA!O8</f>
        <v>-14</v>
      </c>
      <c r="J13" s="36">
        <f>DATA!P8</f>
        <v>-6</v>
      </c>
      <c r="K13" s="36">
        <f>DATA!N8</f>
        <v>0</v>
      </c>
      <c r="L13" s="36">
        <v>9</v>
      </c>
      <c r="M13" s="38">
        <f t="shared" si="0"/>
        <v>0</v>
      </c>
      <c r="N13" s="38">
        <f t="shared" si="0"/>
        <v>0</v>
      </c>
      <c r="O13" s="38">
        <f t="shared" si="0"/>
        <v>0</v>
      </c>
      <c r="P13" s="38">
        <f t="shared" si="0"/>
        <v>0</v>
      </c>
      <c r="Q13" s="38">
        <f t="shared" si="0"/>
        <v>0</v>
      </c>
      <c r="R13" s="38">
        <f t="shared" si="0"/>
        <v>0</v>
      </c>
      <c r="S13" s="38">
        <f t="shared" si="0"/>
        <v>0</v>
      </c>
      <c r="T13" s="38">
        <f t="shared" si="0"/>
        <v>0</v>
      </c>
      <c r="U13" s="38">
        <f t="shared" si="0"/>
        <v>0</v>
      </c>
      <c r="V13" s="38">
        <f t="shared" si="0"/>
        <v>9</v>
      </c>
      <c r="W13" s="38">
        <f t="shared" si="1"/>
        <v>9</v>
      </c>
      <c r="X13" s="38">
        <f t="shared" si="1"/>
        <v>9</v>
      </c>
      <c r="Y13" s="38">
        <f t="shared" si="1"/>
        <v>9</v>
      </c>
      <c r="Z13" s="38">
        <f t="shared" si="1"/>
        <v>0</v>
      </c>
      <c r="AA13" s="38">
        <f t="shared" si="1"/>
        <v>0</v>
      </c>
      <c r="AB13" s="38">
        <f t="shared" si="1"/>
        <v>0</v>
      </c>
      <c r="AC13" s="39">
        <f t="shared" si="1"/>
        <v>0</v>
      </c>
      <c r="AD13" s="38">
        <f t="shared" si="1"/>
        <v>0</v>
      </c>
      <c r="AE13" s="38">
        <f t="shared" si="1"/>
        <v>0</v>
      </c>
      <c r="AF13" s="38">
        <f t="shared" si="1"/>
        <v>0</v>
      </c>
      <c r="AG13" s="38">
        <f t="shared" si="2"/>
        <v>0</v>
      </c>
      <c r="AH13" s="38">
        <f t="shared" si="2"/>
        <v>0</v>
      </c>
      <c r="AI13" s="38">
        <f t="shared" si="2"/>
        <v>0</v>
      </c>
      <c r="AJ13" s="38">
        <f t="shared" si="2"/>
        <v>0</v>
      </c>
      <c r="AK13" s="38">
        <f t="shared" si="2"/>
        <v>0</v>
      </c>
      <c r="AL13" s="38">
        <f t="shared" si="2"/>
        <v>0</v>
      </c>
      <c r="AM13" s="38">
        <f t="shared" si="2"/>
        <v>0</v>
      </c>
      <c r="AN13" s="38">
        <f t="shared" si="2"/>
        <v>0</v>
      </c>
      <c r="AO13" s="38">
        <f t="shared" si="2"/>
        <v>0</v>
      </c>
      <c r="AP13" s="38">
        <f t="shared" si="2"/>
        <v>0</v>
      </c>
      <c r="AQ13" s="38">
        <f t="shared" si="2"/>
        <v>0</v>
      </c>
      <c r="AR13" s="38">
        <f t="shared" si="2"/>
        <v>0</v>
      </c>
      <c r="AS13" s="38">
        <f t="shared" si="2"/>
        <v>0</v>
      </c>
      <c r="AT13" s="38">
        <f t="shared" si="2"/>
        <v>0</v>
      </c>
      <c r="AU13" s="38">
        <f t="shared" si="2"/>
        <v>0</v>
      </c>
    </row>
    <row r="14" spans="1:47" ht="13.95" customHeight="1" x14ac:dyDescent="0.4">
      <c r="A14" s="36">
        <v>8</v>
      </c>
      <c r="B14" s="36" t="s">
        <v>84</v>
      </c>
      <c r="C14" s="36" t="s">
        <v>102</v>
      </c>
      <c r="D14" s="37" t="s">
        <v>104</v>
      </c>
      <c r="E14" s="36" t="s">
        <v>84</v>
      </c>
      <c r="F14" s="36">
        <v>4</v>
      </c>
      <c r="G14" s="36">
        <f>DATA!K9</f>
        <v>-18</v>
      </c>
      <c r="H14" s="36">
        <f>DATA!L9</f>
        <v>-14</v>
      </c>
      <c r="I14" s="36">
        <f>DATA!O9</f>
        <v>-18</v>
      </c>
      <c r="J14" s="36">
        <f>DATA!P9</f>
        <v>-14</v>
      </c>
      <c r="K14" s="36">
        <f>DATA!N9</f>
        <v>0</v>
      </c>
      <c r="L14" s="36">
        <v>10</v>
      </c>
      <c r="M14" s="38">
        <f t="shared" si="0"/>
        <v>0</v>
      </c>
      <c r="N14" s="38">
        <f t="shared" si="0"/>
        <v>0</v>
      </c>
      <c r="O14" s="38">
        <f t="shared" si="0"/>
        <v>0</v>
      </c>
      <c r="P14" s="38">
        <f t="shared" si="0"/>
        <v>0</v>
      </c>
      <c r="Q14" s="38">
        <f t="shared" si="0"/>
        <v>0</v>
      </c>
      <c r="R14" s="38">
        <f t="shared" si="0"/>
        <v>0</v>
      </c>
      <c r="S14" s="38">
        <f t="shared" si="0"/>
        <v>0</v>
      </c>
      <c r="T14" s="38">
        <f t="shared" si="0"/>
        <v>10</v>
      </c>
      <c r="U14" s="38">
        <f t="shared" si="0"/>
        <v>10</v>
      </c>
      <c r="V14" s="38">
        <f t="shared" si="0"/>
        <v>0</v>
      </c>
      <c r="W14" s="38">
        <f t="shared" si="1"/>
        <v>0</v>
      </c>
      <c r="X14" s="38">
        <f t="shared" si="1"/>
        <v>0</v>
      </c>
      <c r="Y14" s="38">
        <f t="shared" si="1"/>
        <v>0</v>
      </c>
      <c r="Z14" s="38">
        <f t="shared" si="1"/>
        <v>0</v>
      </c>
      <c r="AA14" s="38">
        <f t="shared" si="1"/>
        <v>0</v>
      </c>
      <c r="AB14" s="38">
        <f t="shared" si="1"/>
        <v>0</v>
      </c>
      <c r="AC14" s="39">
        <f t="shared" si="1"/>
        <v>0</v>
      </c>
      <c r="AD14" s="38">
        <f t="shared" si="1"/>
        <v>0</v>
      </c>
      <c r="AE14" s="38">
        <f t="shared" si="1"/>
        <v>0</v>
      </c>
      <c r="AF14" s="38">
        <f t="shared" si="1"/>
        <v>0</v>
      </c>
      <c r="AG14" s="38">
        <f t="shared" si="2"/>
        <v>0</v>
      </c>
      <c r="AH14" s="38">
        <f t="shared" si="2"/>
        <v>0</v>
      </c>
      <c r="AI14" s="38">
        <f t="shared" si="2"/>
        <v>0</v>
      </c>
      <c r="AJ14" s="38">
        <f t="shared" si="2"/>
        <v>0</v>
      </c>
      <c r="AK14" s="38">
        <f t="shared" si="2"/>
        <v>0</v>
      </c>
      <c r="AL14" s="38">
        <f t="shared" si="2"/>
        <v>0</v>
      </c>
      <c r="AM14" s="38">
        <f t="shared" si="2"/>
        <v>0</v>
      </c>
      <c r="AN14" s="38">
        <f t="shared" si="2"/>
        <v>0</v>
      </c>
      <c r="AO14" s="38">
        <f t="shared" si="2"/>
        <v>0</v>
      </c>
      <c r="AP14" s="38">
        <f t="shared" si="2"/>
        <v>0</v>
      </c>
      <c r="AQ14" s="38">
        <f t="shared" si="2"/>
        <v>0</v>
      </c>
      <c r="AR14" s="38">
        <f t="shared" si="2"/>
        <v>0</v>
      </c>
      <c r="AS14" s="38">
        <f t="shared" si="2"/>
        <v>0</v>
      </c>
      <c r="AT14" s="38">
        <f t="shared" si="2"/>
        <v>0</v>
      </c>
      <c r="AU14" s="38">
        <f t="shared" si="2"/>
        <v>0</v>
      </c>
    </row>
    <row r="15" spans="1:47" ht="13.95" customHeight="1" x14ac:dyDescent="0.4">
      <c r="A15" s="36">
        <v>9</v>
      </c>
      <c r="B15" s="36" t="s">
        <v>84</v>
      </c>
      <c r="C15" s="36" t="s">
        <v>102</v>
      </c>
      <c r="D15" s="37" t="s">
        <v>106</v>
      </c>
      <c r="E15" s="36" t="s">
        <v>84</v>
      </c>
      <c r="F15" s="36">
        <v>4</v>
      </c>
      <c r="G15" s="36">
        <f>DATA!K10</f>
        <v>-10</v>
      </c>
      <c r="H15" s="36">
        <f>DATA!L10</f>
        <v>-6</v>
      </c>
      <c r="I15" s="36">
        <f>DATA!O10</f>
        <v>-10</v>
      </c>
      <c r="J15" s="36">
        <f>DATA!P10</f>
        <v>-6</v>
      </c>
      <c r="K15" s="36">
        <f>DATA!N10</f>
        <v>0</v>
      </c>
      <c r="L15" s="36">
        <v>10</v>
      </c>
      <c r="M15" s="38">
        <f t="shared" si="0"/>
        <v>0</v>
      </c>
      <c r="N15" s="38">
        <f t="shared" si="0"/>
        <v>0</v>
      </c>
      <c r="O15" s="38">
        <f t="shared" si="0"/>
        <v>0</v>
      </c>
      <c r="P15" s="38">
        <f t="shared" si="0"/>
        <v>0</v>
      </c>
      <c r="Q15" s="38">
        <f t="shared" si="0"/>
        <v>0</v>
      </c>
      <c r="R15" s="38">
        <f t="shared" si="0"/>
        <v>0</v>
      </c>
      <c r="S15" s="38">
        <f t="shared" si="0"/>
        <v>0</v>
      </c>
      <c r="T15" s="38">
        <f t="shared" si="0"/>
        <v>0</v>
      </c>
      <c r="U15" s="38">
        <f t="shared" si="0"/>
        <v>0</v>
      </c>
      <c r="V15" s="38">
        <f t="shared" si="0"/>
        <v>0</v>
      </c>
      <c r="W15" s="38">
        <f t="shared" si="1"/>
        <v>0</v>
      </c>
      <c r="X15" s="38">
        <f t="shared" si="1"/>
        <v>10</v>
      </c>
      <c r="Y15" s="38">
        <f t="shared" si="1"/>
        <v>10</v>
      </c>
      <c r="Z15" s="38">
        <f t="shared" si="1"/>
        <v>0</v>
      </c>
      <c r="AA15" s="38">
        <f t="shared" si="1"/>
        <v>0</v>
      </c>
      <c r="AB15" s="38">
        <f t="shared" si="1"/>
        <v>0</v>
      </c>
      <c r="AC15" s="39">
        <f t="shared" si="1"/>
        <v>0</v>
      </c>
      <c r="AD15" s="38">
        <f t="shared" si="1"/>
        <v>0</v>
      </c>
      <c r="AE15" s="38">
        <f t="shared" si="1"/>
        <v>0</v>
      </c>
      <c r="AF15" s="38">
        <f t="shared" si="1"/>
        <v>0</v>
      </c>
      <c r="AG15" s="38">
        <f t="shared" si="2"/>
        <v>0</v>
      </c>
      <c r="AH15" s="38">
        <f t="shared" si="2"/>
        <v>0</v>
      </c>
      <c r="AI15" s="38">
        <f t="shared" si="2"/>
        <v>0</v>
      </c>
      <c r="AJ15" s="38">
        <f t="shared" si="2"/>
        <v>0</v>
      </c>
      <c r="AK15" s="38">
        <f t="shared" si="2"/>
        <v>0</v>
      </c>
      <c r="AL15" s="38">
        <f t="shared" si="2"/>
        <v>0</v>
      </c>
      <c r="AM15" s="38">
        <f t="shared" si="2"/>
        <v>0</v>
      </c>
      <c r="AN15" s="38">
        <f t="shared" si="2"/>
        <v>0</v>
      </c>
      <c r="AO15" s="38">
        <f t="shared" si="2"/>
        <v>0</v>
      </c>
      <c r="AP15" s="38">
        <f t="shared" si="2"/>
        <v>0</v>
      </c>
      <c r="AQ15" s="38">
        <f t="shared" si="2"/>
        <v>0</v>
      </c>
      <c r="AR15" s="38">
        <f t="shared" si="2"/>
        <v>0</v>
      </c>
      <c r="AS15" s="38">
        <f t="shared" si="2"/>
        <v>0</v>
      </c>
      <c r="AT15" s="38">
        <f t="shared" si="2"/>
        <v>0</v>
      </c>
      <c r="AU15" s="38">
        <f t="shared" si="2"/>
        <v>0</v>
      </c>
    </row>
    <row r="16" spans="1:47" ht="13.95" customHeight="1" x14ac:dyDescent="0.4">
      <c r="A16" s="36">
        <v>10</v>
      </c>
      <c r="B16" s="36" t="s">
        <v>84</v>
      </c>
      <c r="C16" s="36" t="s">
        <v>102</v>
      </c>
      <c r="D16" s="37" t="s">
        <v>107</v>
      </c>
      <c r="E16" s="36" t="s">
        <v>84</v>
      </c>
      <c r="F16" s="36">
        <v>2</v>
      </c>
      <c r="G16" s="36">
        <f>DATA!K11</f>
        <v>-4</v>
      </c>
      <c r="H16" s="36">
        <f>DATA!L11</f>
        <v>-2</v>
      </c>
      <c r="I16" s="36">
        <f>DATA!O11</f>
        <v>-4</v>
      </c>
      <c r="J16" s="36">
        <f>DATA!P11</f>
        <v>-2</v>
      </c>
      <c r="K16" s="36">
        <f>DATA!N11</f>
        <v>0</v>
      </c>
      <c r="L16" s="36">
        <v>10</v>
      </c>
      <c r="M16" s="38">
        <f t="shared" si="0"/>
        <v>0</v>
      </c>
      <c r="N16" s="38">
        <f t="shared" si="0"/>
        <v>0</v>
      </c>
      <c r="O16" s="38">
        <f t="shared" si="0"/>
        <v>0</v>
      </c>
      <c r="P16" s="38">
        <f t="shared" si="0"/>
        <v>0</v>
      </c>
      <c r="Q16" s="38">
        <f t="shared" si="0"/>
        <v>0</v>
      </c>
      <c r="R16" s="38">
        <f t="shared" si="0"/>
        <v>0</v>
      </c>
      <c r="S16" s="38">
        <f t="shared" si="0"/>
        <v>0</v>
      </c>
      <c r="T16" s="38">
        <f t="shared" si="0"/>
        <v>0</v>
      </c>
      <c r="U16" s="38">
        <f t="shared" si="0"/>
        <v>0</v>
      </c>
      <c r="V16" s="38">
        <f t="shared" si="0"/>
        <v>0</v>
      </c>
      <c r="W16" s="38">
        <f t="shared" si="1"/>
        <v>0</v>
      </c>
      <c r="X16" s="38">
        <f t="shared" si="1"/>
        <v>0</v>
      </c>
      <c r="Y16" s="38">
        <f t="shared" si="1"/>
        <v>0</v>
      </c>
      <c r="Z16" s="38">
        <f t="shared" si="1"/>
        <v>0</v>
      </c>
      <c r="AA16" s="38">
        <f t="shared" si="1"/>
        <v>10</v>
      </c>
      <c r="AB16" s="38">
        <f t="shared" si="1"/>
        <v>0</v>
      </c>
      <c r="AC16" s="39">
        <f t="shared" si="1"/>
        <v>0</v>
      </c>
      <c r="AD16" s="38">
        <f t="shared" si="1"/>
        <v>0</v>
      </c>
      <c r="AE16" s="38">
        <f t="shared" si="1"/>
        <v>0</v>
      </c>
      <c r="AF16" s="38">
        <f t="shared" si="1"/>
        <v>0</v>
      </c>
      <c r="AG16" s="38">
        <f t="shared" si="2"/>
        <v>0</v>
      </c>
      <c r="AH16" s="38">
        <f t="shared" si="2"/>
        <v>0</v>
      </c>
      <c r="AI16" s="38">
        <f t="shared" si="2"/>
        <v>0</v>
      </c>
      <c r="AJ16" s="38">
        <f t="shared" si="2"/>
        <v>0</v>
      </c>
      <c r="AK16" s="38">
        <f t="shared" si="2"/>
        <v>0</v>
      </c>
      <c r="AL16" s="38">
        <f t="shared" si="2"/>
        <v>0</v>
      </c>
      <c r="AM16" s="38">
        <f t="shared" si="2"/>
        <v>0</v>
      </c>
      <c r="AN16" s="38">
        <f t="shared" si="2"/>
        <v>0</v>
      </c>
      <c r="AO16" s="38">
        <f t="shared" si="2"/>
        <v>0</v>
      </c>
      <c r="AP16" s="38">
        <f t="shared" si="2"/>
        <v>0</v>
      </c>
      <c r="AQ16" s="38">
        <f t="shared" si="2"/>
        <v>0</v>
      </c>
      <c r="AR16" s="38">
        <f t="shared" si="2"/>
        <v>0</v>
      </c>
      <c r="AS16" s="38">
        <f t="shared" si="2"/>
        <v>0</v>
      </c>
      <c r="AT16" s="38">
        <f t="shared" si="2"/>
        <v>0</v>
      </c>
      <c r="AU16" s="38">
        <f t="shared" si="2"/>
        <v>0</v>
      </c>
    </row>
    <row r="17" spans="1:47" ht="18" customHeight="1" x14ac:dyDescent="0.4">
      <c r="A17" s="67" t="s">
        <v>191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</row>
    <row r="18" spans="1:47" ht="16.05" customHeight="1" x14ac:dyDescent="0.4">
      <c r="A18" s="62" t="s">
        <v>192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1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</row>
    <row r="19" spans="1:47" ht="15" customHeight="1" x14ac:dyDescent="0.4">
      <c r="A19" s="42">
        <v>11</v>
      </c>
      <c r="B19" s="42" t="s">
        <v>109</v>
      </c>
      <c r="C19" s="42" t="s">
        <v>14</v>
      </c>
      <c r="D19" s="43" t="s">
        <v>111</v>
      </c>
      <c r="E19" s="42" t="s">
        <v>113</v>
      </c>
      <c r="F19" s="42">
        <v>10</v>
      </c>
      <c r="G19" s="42">
        <f>DATA!K12</f>
        <v>-16</v>
      </c>
      <c r="H19" s="42">
        <f>DATA!L12</f>
        <v>-6</v>
      </c>
      <c r="I19" s="42">
        <f>DATA!O12</f>
        <v>-16</v>
      </c>
      <c r="J19" s="42">
        <f>DATA!P12</f>
        <v>-6</v>
      </c>
      <c r="K19" s="44">
        <f>DATA!N12</f>
        <v>0</v>
      </c>
      <c r="L19" s="45">
        <v>1</v>
      </c>
      <c r="M19" s="46">
        <f t="shared" ref="M19:V25" si="3">IF(AND(M$5&gt;=$I19,M$5&lt;$J19),IF(AND(M$5&gt;=$G19,M$5&lt;$H19),$L19,$L19+100),IF(AND(M$5&gt;=$G19,M$5&lt;$H19),-1,0))</f>
        <v>0</v>
      </c>
      <c r="N19" s="46">
        <f t="shared" si="3"/>
        <v>0</v>
      </c>
      <c r="O19" s="46">
        <f t="shared" si="3"/>
        <v>0</v>
      </c>
      <c r="P19" s="46">
        <f t="shared" si="3"/>
        <v>0</v>
      </c>
      <c r="Q19" s="46">
        <f t="shared" si="3"/>
        <v>0</v>
      </c>
      <c r="R19" s="46">
        <f t="shared" si="3"/>
        <v>0</v>
      </c>
      <c r="S19" s="46">
        <f t="shared" si="3"/>
        <v>0</v>
      </c>
      <c r="T19" s="46">
        <f t="shared" si="3"/>
        <v>0</v>
      </c>
      <c r="U19" s="46">
        <f t="shared" si="3"/>
        <v>1</v>
      </c>
      <c r="V19" s="46">
        <f t="shared" si="3"/>
        <v>1</v>
      </c>
      <c r="W19" s="46">
        <f t="shared" ref="W19:AF25" si="4">IF(AND(W$5&gt;=$I19,W$5&lt;$J19),IF(AND(W$5&gt;=$G19,W$5&lt;$H19),$L19,$L19+100),IF(AND(W$5&gt;=$G19,W$5&lt;$H19),-1,0))</f>
        <v>1</v>
      </c>
      <c r="X19" s="46">
        <f t="shared" si="4"/>
        <v>1</v>
      </c>
      <c r="Y19" s="46">
        <f t="shared" si="4"/>
        <v>1</v>
      </c>
      <c r="Z19" s="46">
        <f t="shared" si="4"/>
        <v>0</v>
      </c>
      <c r="AA19" s="46">
        <f t="shared" si="4"/>
        <v>0</v>
      </c>
      <c r="AB19" s="46">
        <f t="shared" si="4"/>
        <v>0</v>
      </c>
      <c r="AC19" s="47">
        <f t="shared" si="4"/>
        <v>0</v>
      </c>
      <c r="AD19" s="46">
        <f t="shared" si="4"/>
        <v>0</v>
      </c>
      <c r="AE19" s="46">
        <f t="shared" si="4"/>
        <v>0</v>
      </c>
      <c r="AF19" s="46">
        <f t="shared" si="4"/>
        <v>0</v>
      </c>
      <c r="AG19" s="46">
        <f t="shared" ref="AG19:AU25" si="5">IF(AND(AG$5&gt;=$I19,AG$5&lt;$J19),IF(AND(AG$5&gt;=$G19,AG$5&lt;$H19),$L19,$L19+100),IF(AND(AG$5&gt;=$G19,AG$5&lt;$H19),-1,0))</f>
        <v>0</v>
      </c>
      <c r="AH19" s="46">
        <f t="shared" si="5"/>
        <v>0</v>
      </c>
      <c r="AI19" s="46">
        <f t="shared" si="5"/>
        <v>0</v>
      </c>
      <c r="AJ19" s="46">
        <f t="shared" si="5"/>
        <v>0</v>
      </c>
      <c r="AK19" s="46">
        <f t="shared" si="5"/>
        <v>0</v>
      </c>
      <c r="AL19" s="46">
        <f t="shared" si="5"/>
        <v>0</v>
      </c>
      <c r="AM19" s="46">
        <f t="shared" si="5"/>
        <v>0</v>
      </c>
      <c r="AN19" s="46">
        <f t="shared" si="5"/>
        <v>0</v>
      </c>
      <c r="AO19" s="46">
        <f t="shared" si="5"/>
        <v>0</v>
      </c>
      <c r="AP19" s="46">
        <f t="shared" si="5"/>
        <v>0</v>
      </c>
      <c r="AQ19" s="46">
        <f t="shared" si="5"/>
        <v>0</v>
      </c>
      <c r="AR19" s="46">
        <f t="shared" si="5"/>
        <v>0</v>
      </c>
      <c r="AS19" s="46">
        <f t="shared" si="5"/>
        <v>0</v>
      </c>
      <c r="AT19" s="46">
        <f t="shared" si="5"/>
        <v>0</v>
      </c>
      <c r="AU19" s="46">
        <f t="shared" si="5"/>
        <v>0</v>
      </c>
    </row>
    <row r="20" spans="1:47" ht="15" customHeight="1" x14ac:dyDescent="0.4">
      <c r="A20" s="42">
        <v>12</v>
      </c>
      <c r="B20" s="42" t="s">
        <v>109</v>
      </c>
      <c r="C20" s="42" t="s">
        <v>14</v>
      </c>
      <c r="D20" s="43" t="s">
        <v>52</v>
      </c>
      <c r="E20" s="42" t="s">
        <v>113</v>
      </c>
      <c r="F20" s="42">
        <v>8</v>
      </c>
      <c r="G20" s="42">
        <f>DATA!K13</f>
        <v>-6</v>
      </c>
      <c r="H20" s="42">
        <f>DATA!L13</f>
        <v>2</v>
      </c>
      <c r="I20" s="42">
        <f>DATA!O13</f>
        <v>-6</v>
      </c>
      <c r="J20" s="42">
        <f>DATA!P13</f>
        <v>2</v>
      </c>
      <c r="K20" s="44">
        <f>DATA!N13</f>
        <v>0</v>
      </c>
      <c r="L20" s="45">
        <v>2</v>
      </c>
      <c r="M20" s="46">
        <f t="shared" si="3"/>
        <v>0</v>
      </c>
      <c r="N20" s="46">
        <f t="shared" si="3"/>
        <v>0</v>
      </c>
      <c r="O20" s="46">
        <f t="shared" si="3"/>
        <v>0</v>
      </c>
      <c r="P20" s="46">
        <f t="shared" si="3"/>
        <v>0</v>
      </c>
      <c r="Q20" s="46">
        <f t="shared" si="3"/>
        <v>0</v>
      </c>
      <c r="R20" s="46">
        <f t="shared" si="3"/>
        <v>0</v>
      </c>
      <c r="S20" s="46">
        <f t="shared" si="3"/>
        <v>0</v>
      </c>
      <c r="T20" s="46">
        <f t="shared" si="3"/>
        <v>0</v>
      </c>
      <c r="U20" s="46">
        <f t="shared" si="3"/>
        <v>0</v>
      </c>
      <c r="V20" s="46">
        <f t="shared" si="3"/>
        <v>0</v>
      </c>
      <c r="W20" s="46">
        <f t="shared" si="4"/>
        <v>0</v>
      </c>
      <c r="X20" s="46">
        <f t="shared" si="4"/>
        <v>0</v>
      </c>
      <c r="Y20" s="46">
        <f t="shared" si="4"/>
        <v>0</v>
      </c>
      <c r="Z20" s="46">
        <f t="shared" si="4"/>
        <v>2</v>
      </c>
      <c r="AA20" s="46">
        <f t="shared" si="4"/>
        <v>2</v>
      </c>
      <c r="AB20" s="46">
        <f t="shared" si="4"/>
        <v>2</v>
      </c>
      <c r="AC20" s="47">
        <f t="shared" si="4"/>
        <v>2</v>
      </c>
      <c r="AD20" s="46">
        <f t="shared" si="4"/>
        <v>0</v>
      </c>
      <c r="AE20" s="46">
        <f t="shared" si="4"/>
        <v>0</v>
      </c>
      <c r="AF20" s="46">
        <f t="shared" si="4"/>
        <v>0</v>
      </c>
      <c r="AG20" s="46">
        <f t="shared" si="5"/>
        <v>0</v>
      </c>
      <c r="AH20" s="46">
        <f t="shared" si="5"/>
        <v>0</v>
      </c>
      <c r="AI20" s="46">
        <f t="shared" si="5"/>
        <v>0</v>
      </c>
      <c r="AJ20" s="46">
        <f t="shared" si="5"/>
        <v>0</v>
      </c>
      <c r="AK20" s="46">
        <f t="shared" si="5"/>
        <v>0</v>
      </c>
      <c r="AL20" s="46">
        <f t="shared" si="5"/>
        <v>0</v>
      </c>
      <c r="AM20" s="46">
        <f t="shared" si="5"/>
        <v>0</v>
      </c>
      <c r="AN20" s="46">
        <f t="shared" si="5"/>
        <v>0</v>
      </c>
      <c r="AO20" s="46">
        <f t="shared" si="5"/>
        <v>0</v>
      </c>
      <c r="AP20" s="46">
        <f t="shared" si="5"/>
        <v>0</v>
      </c>
      <c r="AQ20" s="46">
        <f t="shared" si="5"/>
        <v>0</v>
      </c>
      <c r="AR20" s="46">
        <f t="shared" si="5"/>
        <v>0</v>
      </c>
      <c r="AS20" s="46">
        <f t="shared" si="5"/>
        <v>0</v>
      </c>
      <c r="AT20" s="46">
        <f t="shared" si="5"/>
        <v>0</v>
      </c>
      <c r="AU20" s="46">
        <f t="shared" si="5"/>
        <v>0</v>
      </c>
    </row>
    <row r="21" spans="1:47" ht="15" customHeight="1" x14ac:dyDescent="0.4">
      <c r="A21" s="42">
        <v>13</v>
      </c>
      <c r="B21" s="42" t="s">
        <v>109</v>
      </c>
      <c r="C21" s="42" t="s">
        <v>14</v>
      </c>
      <c r="D21" s="43" t="s">
        <v>53</v>
      </c>
      <c r="E21" s="42" t="s">
        <v>113</v>
      </c>
      <c r="F21" s="42">
        <v>6</v>
      </c>
      <c r="G21" s="42">
        <f>DATA!K14</f>
        <v>0</v>
      </c>
      <c r="H21" s="42">
        <f>DATA!L14</f>
        <v>6</v>
      </c>
      <c r="I21" s="42">
        <f>DATA!O14</f>
        <v>0</v>
      </c>
      <c r="J21" s="42">
        <f>DATA!P14</f>
        <v>6</v>
      </c>
      <c r="K21" s="44">
        <f>DATA!N14</f>
        <v>0</v>
      </c>
      <c r="L21" s="45">
        <v>3</v>
      </c>
      <c r="M21" s="46">
        <f t="shared" si="3"/>
        <v>0</v>
      </c>
      <c r="N21" s="46">
        <f t="shared" si="3"/>
        <v>0</v>
      </c>
      <c r="O21" s="46">
        <f t="shared" si="3"/>
        <v>0</v>
      </c>
      <c r="P21" s="46">
        <f t="shared" si="3"/>
        <v>0</v>
      </c>
      <c r="Q21" s="46">
        <f t="shared" si="3"/>
        <v>0</v>
      </c>
      <c r="R21" s="46">
        <f t="shared" si="3"/>
        <v>0</v>
      </c>
      <c r="S21" s="46">
        <f t="shared" si="3"/>
        <v>0</v>
      </c>
      <c r="T21" s="46">
        <f t="shared" si="3"/>
        <v>0</v>
      </c>
      <c r="U21" s="46">
        <f t="shared" si="3"/>
        <v>0</v>
      </c>
      <c r="V21" s="46">
        <f t="shared" si="3"/>
        <v>0</v>
      </c>
      <c r="W21" s="46">
        <f t="shared" si="4"/>
        <v>0</v>
      </c>
      <c r="X21" s="46">
        <f t="shared" si="4"/>
        <v>0</v>
      </c>
      <c r="Y21" s="46">
        <f t="shared" si="4"/>
        <v>0</v>
      </c>
      <c r="Z21" s="46">
        <f t="shared" si="4"/>
        <v>0</v>
      </c>
      <c r="AA21" s="46">
        <f t="shared" si="4"/>
        <v>0</v>
      </c>
      <c r="AB21" s="46">
        <f t="shared" si="4"/>
        <v>0</v>
      </c>
      <c r="AC21" s="47">
        <f t="shared" si="4"/>
        <v>3</v>
      </c>
      <c r="AD21" s="46">
        <f t="shared" si="4"/>
        <v>3</v>
      </c>
      <c r="AE21" s="46">
        <f t="shared" si="4"/>
        <v>3</v>
      </c>
      <c r="AF21" s="46">
        <f t="shared" si="4"/>
        <v>0</v>
      </c>
      <c r="AG21" s="46">
        <f t="shared" si="5"/>
        <v>0</v>
      </c>
      <c r="AH21" s="46">
        <f t="shared" si="5"/>
        <v>0</v>
      </c>
      <c r="AI21" s="46">
        <f t="shared" si="5"/>
        <v>0</v>
      </c>
      <c r="AJ21" s="46">
        <f t="shared" si="5"/>
        <v>0</v>
      </c>
      <c r="AK21" s="46">
        <f t="shared" si="5"/>
        <v>0</v>
      </c>
      <c r="AL21" s="46">
        <f t="shared" si="5"/>
        <v>0</v>
      </c>
      <c r="AM21" s="46">
        <f t="shared" si="5"/>
        <v>0</v>
      </c>
      <c r="AN21" s="46">
        <f t="shared" si="5"/>
        <v>0</v>
      </c>
      <c r="AO21" s="46">
        <f t="shared" si="5"/>
        <v>0</v>
      </c>
      <c r="AP21" s="46">
        <f t="shared" si="5"/>
        <v>0</v>
      </c>
      <c r="AQ21" s="46">
        <f t="shared" si="5"/>
        <v>0</v>
      </c>
      <c r="AR21" s="46">
        <f t="shared" si="5"/>
        <v>0</v>
      </c>
      <c r="AS21" s="46">
        <f t="shared" si="5"/>
        <v>0</v>
      </c>
      <c r="AT21" s="46">
        <f t="shared" si="5"/>
        <v>0</v>
      </c>
      <c r="AU21" s="46">
        <f t="shared" si="5"/>
        <v>0</v>
      </c>
    </row>
    <row r="22" spans="1:47" ht="15" customHeight="1" x14ac:dyDescent="0.4">
      <c r="A22" s="42">
        <v>14</v>
      </c>
      <c r="B22" s="42" t="s">
        <v>109</v>
      </c>
      <c r="C22" s="42" t="s">
        <v>14</v>
      </c>
      <c r="D22" s="43" t="s">
        <v>54</v>
      </c>
      <c r="E22" s="42" t="s">
        <v>118</v>
      </c>
      <c r="F22" s="42">
        <v>10</v>
      </c>
      <c r="G22" s="42">
        <f>DATA!K15</f>
        <v>4</v>
      </c>
      <c r="H22" s="42">
        <f>DATA!L15</f>
        <v>14</v>
      </c>
      <c r="I22" s="42">
        <f>DATA!O15</f>
        <v>4</v>
      </c>
      <c r="J22" s="42">
        <f>DATA!P15</f>
        <v>14</v>
      </c>
      <c r="K22" s="44">
        <f>DATA!N15</f>
        <v>0</v>
      </c>
      <c r="L22" s="45">
        <v>4</v>
      </c>
      <c r="M22" s="46">
        <f t="shared" si="3"/>
        <v>0</v>
      </c>
      <c r="N22" s="46">
        <f t="shared" si="3"/>
        <v>0</v>
      </c>
      <c r="O22" s="46">
        <f t="shared" si="3"/>
        <v>0</v>
      </c>
      <c r="P22" s="46">
        <f t="shared" si="3"/>
        <v>0</v>
      </c>
      <c r="Q22" s="46">
        <f t="shared" si="3"/>
        <v>0</v>
      </c>
      <c r="R22" s="46">
        <f t="shared" si="3"/>
        <v>0</v>
      </c>
      <c r="S22" s="46">
        <f t="shared" si="3"/>
        <v>0</v>
      </c>
      <c r="T22" s="46">
        <f t="shared" si="3"/>
        <v>0</v>
      </c>
      <c r="U22" s="46">
        <f t="shared" si="3"/>
        <v>0</v>
      </c>
      <c r="V22" s="46">
        <f t="shared" si="3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 t="shared" si="4"/>
        <v>0</v>
      </c>
      <c r="AB22" s="46">
        <f t="shared" si="4"/>
        <v>0</v>
      </c>
      <c r="AC22" s="47">
        <f t="shared" si="4"/>
        <v>0</v>
      </c>
      <c r="AD22" s="46">
        <f t="shared" si="4"/>
        <v>0</v>
      </c>
      <c r="AE22" s="46">
        <f t="shared" si="4"/>
        <v>4</v>
      </c>
      <c r="AF22" s="46">
        <f t="shared" si="4"/>
        <v>4</v>
      </c>
      <c r="AG22" s="46">
        <f t="shared" si="5"/>
        <v>4</v>
      </c>
      <c r="AH22" s="46">
        <f t="shared" si="5"/>
        <v>4</v>
      </c>
      <c r="AI22" s="46">
        <f t="shared" si="5"/>
        <v>4</v>
      </c>
      <c r="AJ22" s="46">
        <f t="shared" si="5"/>
        <v>0</v>
      </c>
      <c r="AK22" s="46">
        <f t="shared" si="5"/>
        <v>0</v>
      </c>
      <c r="AL22" s="46">
        <f t="shared" si="5"/>
        <v>0</v>
      </c>
      <c r="AM22" s="46">
        <f t="shared" si="5"/>
        <v>0</v>
      </c>
      <c r="AN22" s="46">
        <f t="shared" si="5"/>
        <v>0</v>
      </c>
      <c r="AO22" s="46">
        <f t="shared" si="5"/>
        <v>0</v>
      </c>
      <c r="AP22" s="46">
        <f t="shared" si="5"/>
        <v>0</v>
      </c>
      <c r="AQ22" s="46">
        <f t="shared" si="5"/>
        <v>0</v>
      </c>
      <c r="AR22" s="46">
        <f t="shared" si="5"/>
        <v>0</v>
      </c>
      <c r="AS22" s="46">
        <f t="shared" si="5"/>
        <v>0</v>
      </c>
      <c r="AT22" s="46">
        <f t="shared" si="5"/>
        <v>0</v>
      </c>
      <c r="AU22" s="46">
        <f t="shared" si="5"/>
        <v>0</v>
      </c>
    </row>
    <row r="23" spans="1:47" ht="15" customHeight="1" x14ac:dyDescent="0.4">
      <c r="A23" s="42">
        <v>15</v>
      </c>
      <c r="B23" s="42" t="s">
        <v>109</v>
      </c>
      <c r="C23" s="42" t="s">
        <v>14</v>
      </c>
      <c r="D23" s="43" t="s">
        <v>119</v>
      </c>
      <c r="E23" s="42" t="s">
        <v>118</v>
      </c>
      <c r="F23" s="42">
        <v>2</v>
      </c>
      <c r="G23" s="42">
        <f>DATA!K16</f>
        <v>14</v>
      </c>
      <c r="H23" s="42">
        <f>DATA!L16</f>
        <v>16</v>
      </c>
      <c r="I23" s="42">
        <f>DATA!O16</f>
        <v>14</v>
      </c>
      <c r="J23" s="42">
        <f>DATA!P16</f>
        <v>16</v>
      </c>
      <c r="K23" s="44">
        <f>DATA!N16</f>
        <v>0</v>
      </c>
      <c r="L23" s="45">
        <v>5</v>
      </c>
      <c r="M23" s="46">
        <f t="shared" si="3"/>
        <v>0</v>
      </c>
      <c r="N23" s="46">
        <f t="shared" si="3"/>
        <v>0</v>
      </c>
      <c r="O23" s="46">
        <f t="shared" si="3"/>
        <v>0</v>
      </c>
      <c r="P23" s="46">
        <f t="shared" si="3"/>
        <v>0</v>
      </c>
      <c r="Q23" s="46">
        <f t="shared" si="3"/>
        <v>0</v>
      </c>
      <c r="R23" s="46">
        <f t="shared" si="3"/>
        <v>0</v>
      </c>
      <c r="S23" s="46">
        <f t="shared" si="3"/>
        <v>0</v>
      </c>
      <c r="T23" s="46">
        <f t="shared" si="3"/>
        <v>0</v>
      </c>
      <c r="U23" s="46">
        <f t="shared" si="3"/>
        <v>0</v>
      </c>
      <c r="V23" s="46">
        <f t="shared" si="3"/>
        <v>0</v>
      </c>
      <c r="W23" s="46">
        <f t="shared" si="4"/>
        <v>0</v>
      </c>
      <c r="X23" s="46">
        <f t="shared" si="4"/>
        <v>0</v>
      </c>
      <c r="Y23" s="46">
        <f t="shared" si="4"/>
        <v>0</v>
      </c>
      <c r="Z23" s="46">
        <f t="shared" si="4"/>
        <v>0</v>
      </c>
      <c r="AA23" s="46">
        <f t="shared" si="4"/>
        <v>0</v>
      </c>
      <c r="AB23" s="46">
        <f t="shared" si="4"/>
        <v>0</v>
      </c>
      <c r="AC23" s="47">
        <f t="shared" si="4"/>
        <v>0</v>
      </c>
      <c r="AD23" s="46">
        <f t="shared" si="4"/>
        <v>0</v>
      </c>
      <c r="AE23" s="46">
        <f t="shared" si="4"/>
        <v>0</v>
      </c>
      <c r="AF23" s="46">
        <f t="shared" si="4"/>
        <v>0</v>
      </c>
      <c r="AG23" s="46">
        <f t="shared" si="5"/>
        <v>0</v>
      </c>
      <c r="AH23" s="46">
        <f t="shared" si="5"/>
        <v>0</v>
      </c>
      <c r="AI23" s="46">
        <f t="shared" si="5"/>
        <v>0</v>
      </c>
      <c r="AJ23" s="46">
        <f t="shared" si="5"/>
        <v>5</v>
      </c>
      <c r="AK23" s="46">
        <f t="shared" si="5"/>
        <v>0</v>
      </c>
      <c r="AL23" s="46">
        <f t="shared" si="5"/>
        <v>0</v>
      </c>
      <c r="AM23" s="46">
        <f t="shared" si="5"/>
        <v>0</v>
      </c>
      <c r="AN23" s="46">
        <f t="shared" si="5"/>
        <v>0</v>
      </c>
      <c r="AO23" s="46">
        <f t="shared" si="5"/>
        <v>0</v>
      </c>
      <c r="AP23" s="46">
        <f t="shared" si="5"/>
        <v>0</v>
      </c>
      <c r="AQ23" s="46">
        <f t="shared" si="5"/>
        <v>0</v>
      </c>
      <c r="AR23" s="46">
        <f t="shared" si="5"/>
        <v>0</v>
      </c>
      <c r="AS23" s="46">
        <f t="shared" si="5"/>
        <v>0</v>
      </c>
      <c r="AT23" s="46">
        <f t="shared" si="5"/>
        <v>0</v>
      </c>
      <c r="AU23" s="46">
        <f t="shared" si="5"/>
        <v>0</v>
      </c>
    </row>
    <row r="24" spans="1:47" ht="15" customHeight="1" x14ac:dyDescent="0.4">
      <c r="A24" s="42">
        <v>16</v>
      </c>
      <c r="B24" s="42" t="s">
        <v>109</v>
      </c>
      <c r="C24" s="42" t="s">
        <v>14</v>
      </c>
      <c r="D24" s="43" t="s">
        <v>121</v>
      </c>
      <c r="E24" s="42" t="s">
        <v>118</v>
      </c>
      <c r="F24" s="42">
        <v>2</v>
      </c>
      <c r="G24" s="42">
        <f>DATA!K17</f>
        <v>16</v>
      </c>
      <c r="H24" s="42">
        <f>DATA!L17</f>
        <v>18</v>
      </c>
      <c r="I24" s="42">
        <f>DATA!O17</f>
        <v>16</v>
      </c>
      <c r="J24" s="42">
        <f>DATA!P17</f>
        <v>18</v>
      </c>
      <c r="K24" s="44">
        <f>DATA!N17</f>
        <v>0</v>
      </c>
      <c r="L24" s="45">
        <v>6</v>
      </c>
      <c r="M24" s="46">
        <f t="shared" si="3"/>
        <v>0</v>
      </c>
      <c r="N24" s="46">
        <f t="shared" si="3"/>
        <v>0</v>
      </c>
      <c r="O24" s="46">
        <f t="shared" si="3"/>
        <v>0</v>
      </c>
      <c r="P24" s="46">
        <f t="shared" si="3"/>
        <v>0</v>
      </c>
      <c r="Q24" s="46">
        <f t="shared" si="3"/>
        <v>0</v>
      </c>
      <c r="R24" s="46">
        <f t="shared" si="3"/>
        <v>0</v>
      </c>
      <c r="S24" s="46">
        <f t="shared" si="3"/>
        <v>0</v>
      </c>
      <c r="T24" s="46">
        <f t="shared" si="3"/>
        <v>0</v>
      </c>
      <c r="U24" s="46">
        <f t="shared" si="3"/>
        <v>0</v>
      </c>
      <c r="V24" s="46">
        <f t="shared" si="3"/>
        <v>0</v>
      </c>
      <c r="W24" s="46">
        <f t="shared" si="4"/>
        <v>0</v>
      </c>
      <c r="X24" s="46">
        <f t="shared" si="4"/>
        <v>0</v>
      </c>
      <c r="Y24" s="46">
        <f t="shared" si="4"/>
        <v>0</v>
      </c>
      <c r="Z24" s="46">
        <f t="shared" si="4"/>
        <v>0</v>
      </c>
      <c r="AA24" s="46">
        <f t="shared" si="4"/>
        <v>0</v>
      </c>
      <c r="AB24" s="46">
        <f t="shared" si="4"/>
        <v>0</v>
      </c>
      <c r="AC24" s="47">
        <f t="shared" si="4"/>
        <v>0</v>
      </c>
      <c r="AD24" s="46">
        <f t="shared" si="4"/>
        <v>0</v>
      </c>
      <c r="AE24" s="46">
        <f t="shared" si="4"/>
        <v>0</v>
      </c>
      <c r="AF24" s="46">
        <f t="shared" si="4"/>
        <v>0</v>
      </c>
      <c r="AG24" s="46">
        <f t="shared" si="5"/>
        <v>0</v>
      </c>
      <c r="AH24" s="46">
        <f t="shared" si="5"/>
        <v>0</v>
      </c>
      <c r="AI24" s="46">
        <f t="shared" si="5"/>
        <v>0</v>
      </c>
      <c r="AJ24" s="46">
        <f t="shared" si="5"/>
        <v>0</v>
      </c>
      <c r="AK24" s="46">
        <f t="shared" si="5"/>
        <v>6</v>
      </c>
      <c r="AL24" s="46">
        <f t="shared" si="5"/>
        <v>0</v>
      </c>
      <c r="AM24" s="46">
        <f t="shared" si="5"/>
        <v>0</v>
      </c>
      <c r="AN24" s="46">
        <f t="shared" si="5"/>
        <v>0</v>
      </c>
      <c r="AO24" s="46">
        <f t="shared" si="5"/>
        <v>0</v>
      </c>
      <c r="AP24" s="46">
        <f t="shared" si="5"/>
        <v>0</v>
      </c>
      <c r="AQ24" s="46">
        <f t="shared" si="5"/>
        <v>0</v>
      </c>
      <c r="AR24" s="46">
        <f t="shared" si="5"/>
        <v>0</v>
      </c>
      <c r="AS24" s="46">
        <f t="shared" si="5"/>
        <v>0</v>
      </c>
      <c r="AT24" s="46">
        <f t="shared" si="5"/>
        <v>0</v>
      </c>
      <c r="AU24" s="46">
        <f t="shared" si="5"/>
        <v>0</v>
      </c>
    </row>
    <row r="25" spans="1:47" ht="15" customHeight="1" x14ac:dyDescent="0.4">
      <c r="A25" s="42">
        <v>17</v>
      </c>
      <c r="B25" s="42" t="s">
        <v>109</v>
      </c>
      <c r="C25" s="42" t="s">
        <v>14</v>
      </c>
      <c r="D25" s="43" t="s">
        <v>57</v>
      </c>
      <c r="E25" s="42" t="s">
        <v>118</v>
      </c>
      <c r="F25" s="42">
        <v>2</v>
      </c>
      <c r="G25" s="42">
        <f>DATA!K18</f>
        <v>18</v>
      </c>
      <c r="H25" s="42">
        <f>DATA!L18</f>
        <v>20</v>
      </c>
      <c r="I25" s="42">
        <f>DATA!O18</f>
        <v>18</v>
      </c>
      <c r="J25" s="42">
        <f>DATA!P18</f>
        <v>20</v>
      </c>
      <c r="K25" s="44">
        <f>DATA!N18</f>
        <v>0</v>
      </c>
      <c r="L25" s="45">
        <v>7</v>
      </c>
      <c r="M25" s="46">
        <f t="shared" si="3"/>
        <v>0</v>
      </c>
      <c r="N25" s="46">
        <f t="shared" si="3"/>
        <v>0</v>
      </c>
      <c r="O25" s="46">
        <f t="shared" si="3"/>
        <v>0</v>
      </c>
      <c r="P25" s="46">
        <f t="shared" si="3"/>
        <v>0</v>
      </c>
      <c r="Q25" s="46">
        <f t="shared" si="3"/>
        <v>0</v>
      </c>
      <c r="R25" s="46">
        <f t="shared" si="3"/>
        <v>0</v>
      </c>
      <c r="S25" s="46">
        <f t="shared" si="3"/>
        <v>0</v>
      </c>
      <c r="T25" s="46">
        <f t="shared" si="3"/>
        <v>0</v>
      </c>
      <c r="U25" s="46">
        <f t="shared" si="3"/>
        <v>0</v>
      </c>
      <c r="V25" s="46">
        <f t="shared" si="3"/>
        <v>0</v>
      </c>
      <c r="W25" s="46">
        <f t="shared" si="4"/>
        <v>0</v>
      </c>
      <c r="X25" s="46">
        <f t="shared" si="4"/>
        <v>0</v>
      </c>
      <c r="Y25" s="46">
        <f t="shared" si="4"/>
        <v>0</v>
      </c>
      <c r="Z25" s="46">
        <f t="shared" si="4"/>
        <v>0</v>
      </c>
      <c r="AA25" s="46">
        <f t="shared" si="4"/>
        <v>0</v>
      </c>
      <c r="AB25" s="46">
        <f t="shared" si="4"/>
        <v>0</v>
      </c>
      <c r="AC25" s="47">
        <f t="shared" si="4"/>
        <v>0</v>
      </c>
      <c r="AD25" s="46">
        <f t="shared" si="4"/>
        <v>0</v>
      </c>
      <c r="AE25" s="46">
        <f t="shared" si="4"/>
        <v>0</v>
      </c>
      <c r="AF25" s="46">
        <f t="shared" si="4"/>
        <v>0</v>
      </c>
      <c r="AG25" s="46">
        <f t="shared" si="5"/>
        <v>0</v>
      </c>
      <c r="AH25" s="46">
        <f t="shared" si="5"/>
        <v>0</v>
      </c>
      <c r="AI25" s="46">
        <f t="shared" si="5"/>
        <v>0</v>
      </c>
      <c r="AJ25" s="46">
        <f t="shared" si="5"/>
        <v>0</v>
      </c>
      <c r="AK25" s="46">
        <f t="shared" si="5"/>
        <v>0</v>
      </c>
      <c r="AL25" s="46">
        <f t="shared" si="5"/>
        <v>7</v>
      </c>
      <c r="AM25" s="46">
        <f t="shared" si="5"/>
        <v>0</v>
      </c>
      <c r="AN25" s="46">
        <f t="shared" si="5"/>
        <v>0</v>
      </c>
      <c r="AO25" s="46">
        <f t="shared" si="5"/>
        <v>0</v>
      </c>
      <c r="AP25" s="46">
        <f t="shared" si="5"/>
        <v>0</v>
      </c>
      <c r="AQ25" s="46">
        <f t="shared" si="5"/>
        <v>0</v>
      </c>
      <c r="AR25" s="46">
        <f t="shared" si="5"/>
        <v>0</v>
      </c>
      <c r="AS25" s="46">
        <f t="shared" si="5"/>
        <v>0</v>
      </c>
      <c r="AT25" s="46">
        <f t="shared" si="5"/>
        <v>0</v>
      </c>
      <c r="AU25" s="46">
        <f t="shared" si="5"/>
        <v>0</v>
      </c>
    </row>
    <row r="26" spans="1:47" ht="16.05" customHeight="1" x14ac:dyDescent="0.4">
      <c r="A26" s="62" t="s">
        <v>193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8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</row>
    <row r="27" spans="1:47" ht="15" customHeight="1" x14ac:dyDescent="0.4">
      <c r="A27" s="36">
        <v>18</v>
      </c>
      <c r="B27" s="36" t="s">
        <v>109</v>
      </c>
      <c r="C27" s="36" t="s">
        <v>19</v>
      </c>
      <c r="D27" s="37" t="s">
        <v>111</v>
      </c>
      <c r="E27" s="36" t="s">
        <v>113</v>
      </c>
      <c r="F27" s="36">
        <v>8</v>
      </c>
      <c r="G27" s="36">
        <f>DATA!K19</f>
        <v>-14</v>
      </c>
      <c r="H27" s="36">
        <f>DATA!L19</f>
        <v>-6</v>
      </c>
      <c r="I27" s="36">
        <f>DATA!O19</f>
        <v>-14</v>
      </c>
      <c r="J27" s="36">
        <f>DATA!P19</f>
        <v>-6</v>
      </c>
      <c r="K27" s="48">
        <f>DATA!N19</f>
        <v>0</v>
      </c>
      <c r="L27" s="49">
        <v>1</v>
      </c>
      <c r="M27" s="38">
        <f t="shared" ref="M27:V33" si="6">IF(AND(M$5&gt;=$I27,M$5&lt;$J27),IF(AND(M$5&gt;=$G27,M$5&lt;$H27),$L27,$L27+100),IF(AND(M$5&gt;=$G27,M$5&lt;$H27),-1,0))</f>
        <v>0</v>
      </c>
      <c r="N27" s="38">
        <f t="shared" si="6"/>
        <v>0</v>
      </c>
      <c r="O27" s="38">
        <f t="shared" si="6"/>
        <v>0</v>
      </c>
      <c r="P27" s="38">
        <f t="shared" si="6"/>
        <v>0</v>
      </c>
      <c r="Q27" s="38">
        <f t="shared" si="6"/>
        <v>0</v>
      </c>
      <c r="R27" s="38">
        <f t="shared" si="6"/>
        <v>0</v>
      </c>
      <c r="S27" s="38">
        <f t="shared" si="6"/>
        <v>0</v>
      </c>
      <c r="T27" s="38">
        <f t="shared" si="6"/>
        <v>0</v>
      </c>
      <c r="U27" s="38">
        <f t="shared" si="6"/>
        <v>0</v>
      </c>
      <c r="V27" s="38">
        <f t="shared" si="6"/>
        <v>1</v>
      </c>
      <c r="W27" s="38">
        <f t="shared" ref="W27:AF33" si="7">IF(AND(W$5&gt;=$I27,W$5&lt;$J27),IF(AND(W$5&gt;=$G27,W$5&lt;$H27),$L27,$L27+100),IF(AND(W$5&gt;=$G27,W$5&lt;$H27),-1,0))</f>
        <v>1</v>
      </c>
      <c r="X27" s="38">
        <f t="shared" si="7"/>
        <v>1</v>
      </c>
      <c r="Y27" s="38">
        <f t="shared" si="7"/>
        <v>1</v>
      </c>
      <c r="Z27" s="38">
        <f t="shared" si="7"/>
        <v>0</v>
      </c>
      <c r="AA27" s="38">
        <f t="shared" si="7"/>
        <v>0</v>
      </c>
      <c r="AB27" s="38">
        <f t="shared" si="7"/>
        <v>0</v>
      </c>
      <c r="AC27" s="39">
        <f t="shared" si="7"/>
        <v>0</v>
      </c>
      <c r="AD27" s="38">
        <f t="shared" si="7"/>
        <v>0</v>
      </c>
      <c r="AE27" s="38">
        <f t="shared" si="7"/>
        <v>0</v>
      </c>
      <c r="AF27" s="38">
        <f t="shared" si="7"/>
        <v>0</v>
      </c>
      <c r="AG27" s="38">
        <f t="shared" ref="AG27:AU33" si="8">IF(AND(AG$5&gt;=$I27,AG$5&lt;$J27),IF(AND(AG$5&gt;=$G27,AG$5&lt;$H27),$L27,$L27+100),IF(AND(AG$5&gt;=$G27,AG$5&lt;$H27),-1,0))</f>
        <v>0</v>
      </c>
      <c r="AH27" s="38">
        <f t="shared" si="8"/>
        <v>0</v>
      </c>
      <c r="AI27" s="38">
        <f t="shared" si="8"/>
        <v>0</v>
      </c>
      <c r="AJ27" s="38">
        <f t="shared" si="8"/>
        <v>0</v>
      </c>
      <c r="AK27" s="38">
        <f t="shared" si="8"/>
        <v>0</v>
      </c>
      <c r="AL27" s="38">
        <f t="shared" si="8"/>
        <v>0</v>
      </c>
      <c r="AM27" s="38">
        <f t="shared" si="8"/>
        <v>0</v>
      </c>
      <c r="AN27" s="38">
        <f t="shared" si="8"/>
        <v>0</v>
      </c>
      <c r="AO27" s="38">
        <f t="shared" si="8"/>
        <v>0</v>
      </c>
      <c r="AP27" s="38">
        <f t="shared" si="8"/>
        <v>0</v>
      </c>
      <c r="AQ27" s="38">
        <f t="shared" si="8"/>
        <v>0</v>
      </c>
      <c r="AR27" s="38">
        <f t="shared" si="8"/>
        <v>0</v>
      </c>
      <c r="AS27" s="38">
        <f t="shared" si="8"/>
        <v>0</v>
      </c>
      <c r="AT27" s="38">
        <f t="shared" si="8"/>
        <v>0</v>
      </c>
      <c r="AU27" s="38">
        <f t="shared" si="8"/>
        <v>0</v>
      </c>
    </row>
    <row r="28" spans="1:47" ht="15" customHeight="1" x14ac:dyDescent="0.4">
      <c r="A28" s="36">
        <v>19</v>
      </c>
      <c r="B28" s="36" t="s">
        <v>109</v>
      </c>
      <c r="C28" s="36" t="s">
        <v>19</v>
      </c>
      <c r="D28" s="37" t="s">
        <v>52</v>
      </c>
      <c r="E28" s="36" t="s">
        <v>113</v>
      </c>
      <c r="F28" s="36">
        <v>8</v>
      </c>
      <c r="G28" s="36">
        <f>DATA!K20</f>
        <v>-4</v>
      </c>
      <c r="H28" s="36">
        <f>DATA!L20</f>
        <v>4</v>
      </c>
      <c r="I28" s="36">
        <f>DATA!O20</f>
        <v>-4</v>
      </c>
      <c r="J28" s="36">
        <f>DATA!P20</f>
        <v>4</v>
      </c>
      <c r="K28" s="48">
        <f>DATA!N20</f>
        <v>0</v>
      </c>
      <c r="L28" s="49">
        <v>2</v>
      </c>
      <c r="M28" s="38">
        <f t="shared" si="6"/>
        <v>0</v>
      </c>
      <c r="N28" s="38">
        <f t="shared" si="6"/>
        <v>0</v>
      </c>
      <c r="O28" s="38">
        <f t="shared" si="6"/>
        <v>0</v>
      </c>
      <c r="P28" s="38">
        <f t="shared" si="6"/>
        <v>0</v>
      </c>
      <c r="Q28" s="38">
        <f t="shared" si="6"/>
        <v>0</v>
      </c>
      <c r="R28" s="38">
        <f t="shared" si="6"/>
        <v>0</v>
      </c>
      <c r="S28" s="38">
        <f t="shared" si="6"/>
        <v>0</v>
      </c>
      <c r="T28" s="38">
        <f t="shared" si="6"/>
        <v>0</v>
      </c>
      <c r="U28" s="38">
        <f t="shared" si="6"/>
        <v>0</v>
      </c>
      <c r="V28" s="38">
        <f t="shared" si="6"/>
        <v>0</v>
      </c>
      <c r="W28" s="38">
        <f t="shared" si="7"/>
        <v>0</v>
      </c>
      <c r="X28" s="38">
        <f t="shared" si="7"/>
        <v>0</v>
      </c>
      <c r="Y28" s="38">
        <f t="shared" si="7"/>
        <v>0</v>
      </c>
      <c r="Z28" s="38">
        <f t="shared" si="7"/>
        <v>0</v>
      </c>
      <c r="AA28" s="38">
        <f t="shared" si="7"/>
        <v>2</v>
      </c>
      <c r="AB28" s="38">
        <f t="shared" si="7"/>
        <v>2</v>
      </c>
      <c r="AC28" s="39">
        <f t="shared" si="7"/>
        <v>2</v>
      </c>
      <c r="AD28" s="38">
        <f t="shared" si="7"/>
        <v>2</v>
      </c>
      <c r="AE28" s="38">
        <f t="shared" si="7"/>
        <v>0</v>
      </c>
      <c r="AF28" s="38">
        <f t="shared" si="7"/>
        <v>0</v>
      </c>
      <c r="AG28" s="38">
        <f t="shared" si="8"/>
        <v>0</v>
      </c>
      <c r="AH28" s="38">
        <f t="shared" si="8"/>
        <v>0</v>
      </c>
      <c r="AI28" s="38">
        <f t="shared" si="8"/>
        <v>0</v>
      </c>
      <c r="AJ28" s="38">
        <f t="shared" si="8"/>
        <v>0</v>
      </c>
      <c r="AK28" s="38">
        <f t="shared" si="8"/>
        <v>0</v>
      </c>
      <c r="AL28" s="38">
        <f t="shared" si="8"/>
        <v>0</v>
      </c>
      <c r="AM28" s="38">
        <f t="shared" si="8"/>
        <v>0</v>
      </c>
      <c r="AN28" s="38">
        <f t="shared" si="8"/>
        <v>0</v>
      </c>
      <c r="AO28" s="38">
        <f t="shared" si="8"/>
        <v>0</v>
      </c>
      <c r="AP28" s="38">
        <f t="shared" si="8"/>
        <v>0</v>
      </c>
      <c r="AQ28" s="38">
        <f t="shared" si="8"/>
        <v>0</v>
      </c>
      <c r="AR28" s="38">
        <f t="shared" si="8"/>
        <v>0</v>
      </c>
      <c r="AS28" s="38">
        <f t="shared" si="8"/>
        <v>0</v>
      </c>
      <c r="AT28" s="38">
        <f t="shared" si="8"/>
        <v>0</v>
      </c>
      <c r="AU28" s="38">
        <f t="shared" si="8"/>
        <v>0</v>
      </c>
    </row>
    <row r="29" spans="1:47" ht="15" customHeight="1" x14ac:dyDescent="0.4">
      <c r="A29" s="36">
        <v>20</v>
      </c>
      <c r="B29" s="36" t="s">
        <v>109</v>
      </c>
      <c r="C29" s="36" t="s">
        <v>19</v>
      </c>
      <c r="D29" s="37" t="s">
        <v>53</v>
      </c>
      <c r="E29" s="36" t="s">
        <v>113</v>
      </c>
      <c r="F29" s="36">
        <v>6</v>
      </c>
      <c r="G29" s="36">
        <f>DATA!K21</f>
        <v>0</v>
      </c>
      <c r="H29" s="36">
        <f>DATA!L21</f>
        <v>6</v>
      </c>
      <c r="I29" s="36">
        <f>DATA!O21</f>
        <v>0</v>
      </c>
      <c r="J29" s="36">
        <f>DATA!P21</f>
        <v>6</v>
      </c>
      <c r="K29" s="48">
        <f>DATA!N21</f>
        <v>0</v>
      </c>
      <c r="L29" s="49">
        <v>3</v>
      </c>
      <c r="M29" s="38">
        <f t="shared" si="6"/>
        <v>0</v>
      </c>
      <c r="N29" s="38">
        <f t="shared" si="6"/>
        <v>0</v>
      </c>
      <c r="O29" s="38">
        <f t="shared" si="6"/>
        <v>0</v>
      </c>
      <c r="P29" s="38">
        <f t="shared" si="6"/>
        <v>0</v>
      </c>
      <c r="Q29" s="38">
        <f t="shared" si="6"/>
        <v>0</v>
      </c>
      <c r="R29" s="38">
        <f t="shared" si="6"/>
        <v>0</v>
      </c>
      <c r="S29" s="38">
        <f t="shared" si="6"/>
        <v>0</v>
      </c>
      <c r="T29" s="38">
        <f t="shared" si="6"/>
        <v>0</v>
      </c>
      <c r="U29" s="38">
        <f t="shared" si="6"/>
        <v>0</v>
      </c>
      <c r="V29" s="38">
        <f t="shared" si="6"/>
        <v>0</v>
      </c>
      <c r="W29" s="38">
        <f t="shared" si="7"/>
        <v>0</v>
      </c>
      <c r="X29" s="38">
        <f t="shared" si="7"/>
        <v>0</v>
      </c>
      <c r="Y29" s="38">
        <f t="shared" si="7"/>
        <v>0</v>
      </c>
      <c r="Z29" s="38">
        <f t="shared" si="7"/>
        <v>0</v>
      </c>
      <c r="AA29" s="38">
        <f t="shared" si="7"/>
        <v>0</v>
      </c>
      <c r="AB29" s="38">
        <f t="shared" si="7"/>
        <v>0</v>
      </c>
      <c r="AC29" s="39">
        <f t="shared" si="7"/>
        <v>3</v>
      </c>
      <c r="AD29" s="38">
        <f t="shared" si="7"/>
        <v>3</v>
      </c>
      <c r="AE29" s="38">
        <f t="shared" si="7"/>
        <v>3</v>
      </c>
      <c r="AF29" s="38">
        <f t="shared" si="7"/>
        <v>0</v>
      </c>
      <c r="AG29" s="38">
        <f t="shared" si="8"/>
        <v>0</v>
      </c>
      <c r="AH29" s="38">
        <f t="shared" si="8"/>
        <v>0</v>
      </c>
      <c r="AI29" s="38">
        <f t="shared" si="8"/>
        <v>0</v>
      </c>
      <c r="AJ29" s="38">
        <f t="shared" si="8"/>
        <v>0</v>
      </c>
      <c r="AK29" s="38">
        <f t="shared" si="8"/>
        <v>0</v>
      </c>
      <c r="AL29" s="38">
        <f t="shared" si="8"/>
        <v>0</v>
      </c>
      <c r="AM29" s="38">
        <f t="shared" si="8"/>
        <v>0</v>
      </c>
      <c r="AN29" s="38">
        <f t="shared" si="8"/>
        <v>0</v>
      </c>
      <c r="AO29" s="38">
        <f t="shared" si="8"/>
        <v>0</v>
      </c>
      <c r="AP29" s="38">
        <f t="shared" si="8"/>
        <v>0</v>
      </c>
      <c r="AQ29" s="38">
        <f t="shared" si="8"/>
        <v>0</v>
      </c>
      <c r="AR29" s="38">
        <f t="shared" si="8"/>
        <v>0</v>
      </c>
      <c r="AS29" s="38">
        <f t="shared" si="8"/>
        <v>0</v>
      </c>
      <c r="AT29" s="38">
        <f t="shared" si="8"/>
        <v>0</v>
      </c>
      <c r="AU29" s="38">
        <f t="shared" si="8"/>
        <v>0</v>
      </c>
    </row>
    <row r="30" spans="1:47" ht="15" customHeight="1" x14ac:dyDescent="0.4">
      <c r="A30" s="36">
        <v>21</v>
      </c>
      <c r="B30" s="36" t="s">
        <v>109</v>
      </c>
      <c r="C30" s="36" t="s">
        <v>19</v>
      </c>
      <c r="D30" s="37" t="s">
        <v>54</v>
      </c>
      <c r="E30" s="36" t="s">
        <v>118</v>
      </c>
      <c r="F30" s="36">
        <v>8</v>
      </c>
      <c r="G30" s="36">
        <f>DATA!K22</f>
        <v>4</v>
      </c>
      <c r="H30" s="36">
        <f>DATA!L22</f>
        <v>12</v>
      </c>
      <c r="I30" s="36">
        <f>DATA!O22</f>
        <v>4</v>
      </c>
      <c r="J30" s="36">
        <f>DATA!P22</f>
        <v>12</v>
      </c>
      <c r="K30" s="48">
        <f>DATA!N22</f>
        <v>0</v>
      </c>
      <c r="L30" s="49">
        <v>4</v>
      </c>
      <c r="M30" s="38">
        <f t="shared" si="6"/>
        <v>0</v>
      </c>
      <c r="N30" s="38">
        <f t="shared" si="6"/>
        <v>0</v>
      </c>
      <c r="O30" s="38">
        <f t="shared" si="6"/>
        <v>0</v>
      </c>
      <c r="P30" s="38">
        <f t="shared" si="6"/>
        <v>0</v>
      </c>
      <c r="Q30" s="38">
        <f t="shared" si="6"/>
        <v>0</v>
      </c>
      <c r="R30" s="38">
        <f t="shared" si="6"/>
        <v>0</v>
      </c>
      <c r="S30" s="38">
        <f t="shared" si="6"/>
        <v>0</v>
      </c>
      <c r="T30" s="38">
        <f t="shared" si="6"/>
        <v>0</v>
      </c>
      <c r="U30" s="38">
        <f t="shared" si="6"/>
        <v>0</v>
      </c>
      <c r="V30" s="38">
        <f t="shared" si="6"/>
        <v>0</v>
      </c>
      <c r="W30" s="38">
        <f t="shared" si="7"/>
        <v>0</v>
      </c>
      <c r="X30" s="38">
        <f t="shared" si="7"/>
        <v>0</v>
      </c>
      <c r="Y30" s="38">
        <f t="shared" si="7"/>
        <v>0</v>
      </c>
      <c r="Z30" s="38">
        <f t="shared" si="7"/>
        <v>0</v>
      </c>
      <c r="AA30" s="38">
        <f t="shared" si="7"/>
        <v>0</v>
      </c>
      <c r="AB30" s="38">
        <f t="shared" si="7"/>
        <v>0</v>
      </c>
      <c r="AC30" s="39">
        <f t="shared" si="7"/>
        <v>0</v>
      </c>
      <c r="AD30" s="38">
        <f t="shared" si="7"/>
        <v>0</v>
      </c>
      <c r="AE30" s="38">
        <f t="shared" si="7"/>
        <v>4</v>
      </c>
      <c r="AF30" s="38">
        <f t="shared" si="7"/>
        <v>4</v>
      </c>
      <c r="AG30" s="38">
        <f t="shared" si="8"/>
        <v>4</v>
      </c>
      <c r="AH30" s="38">
        <f t="shared" si="8"/>
        <v>4</v>
      </c>
      <c r="AI30" s="38">
        <f t="shared" si="8"/>
        <v>0</v>
      </c>
      <c r="AJ30" s="38">
        <f t="shared" si="8"/>
        <v>0</v>
      </c>
      <c r="AK30" s="38">
        <f t="shared" si="8"/>
        <v>0</v>
      </c>
      <c r="AL30" s="38">
        <f t="shared" si="8"/>
        <v>0</v>
      </c>
      <c r="AM30" s="38">
        <f t="shared" si="8"/>
        <v>0</v>
      </c>
      <c r="AN30" s="38">
        <f t="shared" si="8"/>
        <v>0</v>
      </c>
      <c r="AO30" s="38">
        <f t="shared" si="8"/>
        <v>0</v>
      </c>
      <c r="AP30" s="38">
        <f t="shared" si="8"/>
        <v>0</v>
      </c>
      <c r="AQ30" s="38">
        <f t="shared" si="8"/>
        <v>0</v>
      </c>
      <c r="AR30" s="38">
        <f t="shared" si="8"/>
        <v>0</v>
      </c>
      <c r="AS30" s="38">
        <f t="shared" si="8"/>
        <v>0</v>
      </c>
      <c r="AT30" s="38">
        <f t="shared" si="8"/>
        <v>0</v>
      </c>
      <c r="AU30" s="38">
        <f t="shared" si="8"/>
        <v>0</v>
      </c>
    </row>
    <row r="31" spans="1:47" ht="15" customHeight="1" x14ac:dyDescent="0.4">
      <c r="A31" s="36">
        <v>22</v>
      </c>
      <c r="B31" s="36" t="s">
        <v>109</v>
      </c>
      <c r="C31" s="36" t="s">
        <v>19</v>
      </c>
      <c r="D31" s="37" t="s">
        <v>119</v>
      </c>
      <c r="E31" s="36" t="s">
        <v>118</v>
      </c>
      <c r="F31" s="36">
        <v>2</v>
      </c>
      <c r="G31" s="36">
        <f>DATA!K23</f>
        <v>12</v>
      </c>
      <c r="H31" s="36">
        <f>DATA!L23</f>
        <v>14</v>
      </c>
      <c r="I31" s="36">
        <f>DATA!O23</f>
        <v>12</v>
      </c>
      <c r="J31" s="36">
        <f>DATA!P23</f>
        <v>14</v>
      </c>
      <c r="K31" s="48">
        <f>DATA!N23</f>
        <v>0</v>
      </c>
      <c r="L31" s="49">
        <v>5</v>
      </c>
      <c r="M31" s="38">
        <f t="shared" si="6"/>
        <v>0</v>
      </c>
      <c r="N31" s="38">
        <f t="shared" si="6"/>
        <v>0</v>
      </c>
      <c r="O31" s="38">
        <f t="shared" si="6"/>
        <v>0</v>
      </c>
      <c r="P31" s="38">
        <f t="shared" si="6"/>
        <v>0</v>
      </c>
      <c r="Q31" s="38">
        <f t="shared" si="6"/>
        <v>0</v>
      </c>
      <c r="R31" s="38">
        <f t="shared" si="6"/>
        <v>0</v>
      </c>
      <c r="S31" s="38">
        <f t="shared" si="6"/>
        <v>0</v>
      </c>
      <c r="T31" s="38">
        <f t="shared" si="6"/>
        <v>0</v>
      </c>
      <c r="U31" s="38">
        <f t="shared" si="6"/>
        <v>0</v>
      </c>
      <c r="V31" s="38">
        <f t="shared" si="6"/>
        <v>0</v>
      </c>
      <c r="W31" s="38">
        <f t="shared" si="7"/>
        <v>0</v>
      </c>
      <c r="X31" s="38">
        <f t="shared" si="7"/>
        <v>0</v>
      </c>
      <c r="Y31" s="38">
        <f t="shared" si="7"/>
        <v>0</v>
      </c>
      <c r="Z31" s="38">
        <f t="shared" si="7"/>
        <v>0</v>
      </c>
      <c r="AA31" s="38">
        <f t="shared" si="7"/>
        <v>0</v>
      </c>
      <c r="AB31" s="38">
        <f t="shared" si="7"/>
        <v>0</v>
      </c>
      <c r="AC31" s="39">
        <f t="shared" si="7"/>
        <v>0</v>
      </c>
      <c r="AD31" s="38">
        <f t="shared" si="7"/>
        <v>0</v>
      </c>
      <c r="AE31" s="38">
        <f t="shared" si="7"/>
        <v>0</v>
      </c>
      <c r="AF31" s="38">
        <f t="shared" si="7"/>
        <v>0</v>
      </c>
      <c r="AG31" s="38">
        <f t="shared" si="8"/>
        <v>0</v>
      </c>
      <c r="AH31" s="38">
        <f t="shared" si="8"/>
        <v>0</v>
      </c>
      <c r="AI31" s="38">
        <f t="shared" si="8"/>
        <v>5</v>
      </c>
      <c r="AJ31" s="38">
        <f t="shared" si="8"/>
        <v>0</v>
      </c>
      <c r="AK31" s="38">
        <f t="shared" si="8"/>
        <v>0</v>
      </c>
      <c r="AL31" s="38">
        <f t="shared" si="8"/>
        <v>0</v>
      </c>
      <c r="AM31" s="38">
        <f t="shared" si="8"/>
        <v>0</v>
      </c>
      <c r="AN31" s="38">
        <f t="shared" si="8"/>
        <v>0</v>
      </c>
      <c r="AO31" s="38">
        <f t="shared" si="8"/>
        <v>0</v>
      </c>
      <c r="AP31" s="38">
        <f t="shared" si="8"/>
        <v>0</v>
      </c>
      <c r="AQ31" s="38">
        <f t="shared" si="8"/>
        <v>0</v>
      </c>
      <c r="AR31" s="38">
        <f t="shared" si="8"/>
        <v>0</v>
      </c>
      <c r="AS31" s="38">
        <f t="shared" si="8"/>
        <v>0</v>
      </c>
      <c r="AT31" s="38">
        <f t="shared" si="8"/>
        <v>0</v>
      </c>
      <c r="AU31" s="38">
        <f t="shared" si="8"/>
        <v>0</v>
      </c>
    </row>
    <row r="32" spans="1:47" ht="15" customHeight="1" x14ac:dyDescent="0.4">
      <c r="A32" s="36">
        <v>23</v>
      </c>
      <c r="B32" s="36" t="s">
        <v>109</v>
      </c>
      <c r="C32" s="36" t="s">
        <v>19</v>
      </c>
      <c r="D32" s="37" t="s">
        <v>125</v>
      </c>
      <c r="E32" s="36" t="s">
        <v>118</v>
      </c>
      <c r="F32" s="36">
        <v>2</v>
      </c>
      <c r="G32" s="36">
        <f>DATA!K24</f>
        <v>14</v>
      </c>
      <c r="H32" s="36">
        <f>DATA!L24</f>
        <v>16</v>
      </c>
      <c r="I32" s="36">
        <f>DATA!O24</f>
        <v>14</v>
      </c>
      <c r="J32" s="36">
        <f>DATA!P24</f>
        <v>16</v>
      </c>
      <c r="K32" s="48">
        <f>DATA!N24</f>
        <v>0</v>
      </c>
      <c r="L32" s="49">
        <v>6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7"/>
        <v>0</v>
      </c>
      <c r="X32" s="38">
        <f t="shared" si="7"/>
        <v>0</v>
      </c>
      <c r="Y32" s="38">
        <f t="shared" si="7"/>
        <v>0</v>
      </c>
      <c r="Z32" s="38">
        <f t="shared" si="7"/>
        <v>0</v>
      </c>
      <c r="AA32" s="38">
        <f t="shared" si="7"/>
        <v>0</v>
      </c>
      <c r="AB32" s="38">
        <f t="shared" si="7"/>
        <v>0</v>
      </c>
      <c r="AC32" s="39">
        <f t="shared" si="7"/>
        <v>0</v>
      </c>
      <c r="AD32" s="38">
        <f t="shared" si="7"/>
        <v>0</v>
      </c>
      <c r="AE32" s="38">
        <f t="shared" si="7"/>
        <v>0</v>
      </c>
      <c r="AF32" s="38">
        <f t="shared" si="7"/>
        <v>0</v>
      </c>
      <c r="AG32" s="38">
        <f t="shared" si="8"/>
        <v>0</v>
      </c>
      <c r="AH32" s="38">
        <f t="shared" si="8"/>
        <v>0</v>
      </c>
      <c r="AI32" s="38">
        <f t="shared" si="8"/>
        <v>0</v>
      </c>
      <c r="AJ32" s="38">
        <f t="shared" si="8"/>
        <v>6</v>
      </c>
      <c r="AK32" s="38">
        <f t="shared" si="8"/>
        <v>0</v>
      </c>
      <c r="AL32" s="38">
        <f t="shared" si="8"/>
        <v>0</v>
      </c>
      <c r="AM32" s="38">
        <f t="shared" si="8"/>
        <v>0</v>
      </c>
      <c r="AN32" s="38">
        <f t="shared" si="8"/>
        <v>0</v>
      </c>
      <c r="AO32" s="38">
        <f t="shared" si="8"/>
        <v>0</v>
      </c>
      <c r="AP32" s="38">
        <f t="shared" si="8"/>
        <v>0</v>
      </c>
      <c r="AQ32" s="38">
        <f t="shared" si="8"/>
        <v>0</v>
      </c>
      <c r="AR32" s="38">
        <f t="shared" si="8"/>
        <v>0</v>
      </c>
      <c r="AS32" s="38">
        <f t="shared" si="8"/>
        <v>0</v>
      </c>
      <c r="AT32" s="38">
        <f t="shared" si="8"/>
        <v>0</v>
      </c>
      <c r="AU32" s="38">
        <f t="shared" si="8"/>
        <v>0</v>
      </c>
    </row>
    <row r="33" spans="1:47" ht="15" customHeight="1" x14ac:dyDescent="0.4">
      <c r="A33" s="36">
        <v>24</v>
      </c>
      <c r="B33" s="36" t="s">
        <v>109</v>
      </c>
      <c r="C33" s="36" t="s">
        <v>19</v>
      </c>
      <c r="D33" s="37" t="s">
        <v>57</v>
      </c>
      <c r="E33" s="36" t="s">
        <v>118</v>
      </c>
      <c r="F33" s="36">
        <v>2</v>
      </c>
      <c r="G33" s="36">
        <f>DATA!K25</f>
        <v>16</v>
      </c>
      <c r="H33" s="36">
        <f>DATA!L25</f>
        <v>18</v>
      </c>
      <c r="I33" s="36">
        <f>DATA!O25</f>
        <v>16</v>
      </c>
      <c r="J33" s="36">
        <f>DATA!P25</f>
        <v>18</v>
      </c>
      <c r="K33" s="48">
        <f>DATA!N25</f>
        <v>0</v>
      </c>
      <c r="L33" s="49">
        <v>7</v>
      </c>
      <c r="M33" s="38">
        <f t="shared" si="6"/>
        <v>0</v>
      </c>
      <c r="N33" s="38">
        <f t="shared" si="6"/>
        <v>0</v>
      </c>
      <c r="O33" s="38">
        <f t="shared" si="6"/>
        <v>0</v>
      </c>
      <c r="P33" s="38">
        <f t="shared" si="6"/>
        <v>0</v>
      </c>
      <c r="Q33" s="38">
        <f t="shared" si="6"/>
        <v>0</v>
      </c>
      <c r="R33" s="38">
        <f t="shared" si="6"/>
        <v>0</v>
      </c>
      <c r="S33" s="38">
        <f t="shared" si="6"/>
        <v>0</v>
      </c>
      <c r="T33" s="38">
        <f t="shared" si="6"/>
        <v>0</v>
      </c>
      <c r="U33" s="38">
        <f t="shared" si="6"/>
        <v>0</v>
      </c>
      <c r="V33" s="38">
        <f t="shared" si="6"/>
        <v>0</v>
      </c>
      <c r="W33" s="38">
        <f t="shared" si="7"/>
        <v>0</v>
      </c>
      <c r="X33" s="38">
        <f t="shared" si="7"/>
        <v>0</v>
      </c>
      <c r="Y33" s="38">
        <f t="shared" si="7"/>
        <v>0</v>
      </c>
      <c r="Z33" s="38">
        <f t="shared" si="7"/>
        <v>0</v>
      </c>
      <c r="AA33" s="38">
        <f t="shared" si="7"/>
        <v>0</v>
      </c>
      <c r="AB33" s="38">
        <f t="shared" si="7"/>
        <v>0</v>
      </c>
      <c r="AC33" s="39">
        <f t="shared" si="7"/>
        <v>0</v>
      </c>
      <c r="AD33" s="38">
        <f t="shared" si="7"/>
        <v>0</v>
      </c>
      <c r="AE33" s="38">
        <f t="shared" si="7"/>
        <v>0</v>
      </c>
      <c r="AF33" s="38">
        <f t="shared" si="7"/>
        <v>0</v>
      </c>
      <c r="AG33" s="38">
        <f t="shared" si="8"/>
        <v>0</v>
      </c>
      <c r="AH33" s="38">
        <f t="shared" si="8"/>
        <v>0</v>
      </c>
      <c r="AI33" s="38">
        <f t="shared" si="8"/>
        <v>0</v>
      </c>
      <c r="AJ33" s="38">
        <f t="shared" si="8"/>
        <v>0</v>
      </c>
      <c r="AK33" s="38">
        <f t="shared" si="8"/>
        <v>7</v>
      </c>
      <c r="AL33" s="38">
        <f t="shared" si="8"/>
        <v>0</v>
      </c>
      <c r="AM33" s="38">
        <f t="shared" si="8"/>
        <v>0</v>
      </c>
      <c r="AN33" s="38">
        <f t="shared" si="8"/>
        <v>0</v>
      </c>
      <c r="AO33" s="38">
        <f t="shared" si="8"/>
        <v>0</v>
      </c>
      <c r="AP33" s="38">
        <f t="shared" si="8"/>
        <v>0</v>
      </c>
      <c r="AQ33" s="38">
        <f t="shared" si="8"/>
        <v>0</v>
      </c>
      <c r="AR33" s="38">
        <f t="shared" si="8"/>
        <v>0</v>
      </c>
      <c r="AS33" s="38">
        <f t="shared" si="8"/>
        <v>0</v>
      </c>
      <c r="AT33" s="38">
        <f t="shared" si="8"/>
        <v>0</v>
      </c>
      <c r="AU33" s="38">
        <f t="shared" si="8"/>
        <v>0</v>
      </c>
    </row>
    <row r="34" spans="1:47" ht="16.05" customHeight="1" x14ac:dyDescent="0.4">
      <c r="A34" s="62" t="s">
        <v>194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</row>
    <row r="35" spans="1:47" ht="15" customHeight="1" x14ac:dyDescent="0.4">
      <c r="A35" s="42">
        <v>25</v>
      </c>
      <c r="B35" s="42" t="s">
        <v>109</v>
      </c>
      <c r="C35" s="42" t="s">
        <v>23</v>
      </c>
      <c r="D35" s="43" t="s">
        <v>111</v>
      </c>
      <c r="E35" s="42" t="s">
        <v>113</v>
      </c>
      <c r="F35" s="42">
        <v>8</v>
      </c>
      <c r="G35" s="42">
        <f>DATA!K26</f>
        <v>-14</v>
      </c>
      <c r="H35" s="42">
        <f>DATA!L26</f>
        <v>-6</v>
      </c>
      <c r="I35" s="42">
        <f>DATA!O26</f>
        <v>-14</v>
      </c>
      <c r="J35" s="42">
        <f>DATA!P26</f>
        <v>-6</v>
      </c>
      <c r="K35" s="44">
        <f>DATA!N26</f>
        <v>0</v>
      </c>
      <c r="L35" s="45">
        <v>1</v>
      </c>
      <c r="M35" s="46">
        <f t="shared" ref="M35:V41" si="9">IF(AND(M$5&gt;=$I35,M$5&lt;$J35),IF(AND(M$5&gt;=$G35,M$5&lt;$H35),$L35,$L35+100),IF(AND(M$5&gt;=$G35,M$5&lt;$H35),-1,0))</f>
        <v>0</v>
      </c>
      <c r="N35" s="46">
        <f t="shared" si="9"/>
        <v>0</v>
      </c>
      <c r="O35" s="46">
        <f t="shared" si="9"/>
        <v>0</v>
      </c>
      <c r="P35" s="46">
        <f t="shared" si="9"/>
        <v>0</v>
      </c>
      <c r="Q35" s="46">
        <f t="shared" si="9"/>
        <v>0</v>
      </c>
      <c r="R35" s="46">
        <f t="shared" si="9"/>
        <v>0</v>
      </c>
      <c r="S35" s="46">
        <f t="shared" si="9"/>
        <v>0</v>
      </c>
      <c r="T35" s="46">
        <f t="shared" si="9"/>
        <v>0</v>
      </c>
      <c r="U35" s="46">
        <f t="shared" si="9"/>
        <v>0</v>
      </c>
      <c r="V35" s="46">
        <f t="shared" si="9"/>
        <v>1</v>
      </c>
      <c r="W35" s="46">
        <f t="shared" ref="W35:AF41" si="10">IF(AND(W$5&gt;=$I35,W$5&lt;$J35),IF(AND(W$5&gt;=$G35,W$5&lt;$H35),$L35,$L35+100),IF(AND(W$5&gt;=$G35,W$5&lt;$H35),-1,0))</f>
        <v>1</v>
      </c>
      <c r="X35" s="46">
        <f t="shared" si="10"/>
        <v>1</v>
      </c>
      <c r="Y35" s="46">
        <f t="shared" si="10"/>
        <v>1</v>
      </c>
      <c r="Z35" s="46">
        <f t="shared" si="10"/>
        <v>0</v>
      </c>
      <c r="AA35" s="46">
        <f t="shared" si="10"/>
        <v>0</v>
      </c>
      <c r="AB35" s="46">
        <f t="shared" si="10"/>
        <v>0</v>
      </c>
      <c r="AC35" s="47">
        <f t="shared" si="10"/>
        <v>0</v>
      </c>
      <c r="AD35" s="46">
        <f t="shared" si="10"/>
        <v>0</v>
      </c>
      <c r="AE35" s="46">
        <f t="shared" si="10"/>
        <v>0</v>
      </c>
      <c r="AF35" s="46">
        <f t="shared" si="10"/>
        <v>0</v>
      </c>
      <c r="AG35" s="46">
        <f t="shared" ref="AG35:AU41" si="11">IF(AND(AG$5&gt;=$I35,AG$5&lt;$J35),IF(AND(AG$5&gt;=$G35,AG$5&lt;$H35),$L35,$L35+100),IF(AND(AG$5&gt;=$G35,AG$5&lt;$H35),-1,0))</f>
        <v>0</v>
      </c>
      <c r="AH35" s="46">
        <f t="shared" si="11"/>
        <v>0</v>
      </c>
      <c r="AI35" s="46">
        <f t="shared" si="11"/>
        <v>0</v>
      </c>
      <c r="AJ35" s="46">
        <f t="shared" si="11"/>
        <v>0</v>
      </c>
      <c r="AK35" s="46">
        <f t="shared" si="11"/>
        <v>0</v>
      </c>
      <c r="AL35" s="46">
        <f t="shared" si="11"/>
        <v>0</v>
      </c>
      <c r="AM35" s="46">
        <f t="shared" si="11"/>
        <v>0</v>
      </c>
      <c r="AN35" s="46">
        <f t="shared" si="11"/>
        <v>0</v>
      </c>
      <c r="AO35" s="46">
        <f t="shared" si="11"/>
        <v>0</v>
      </c>
      <c r="AP35" s="46">
        <f t="shared" si="11"/>
        <v>0</v>
      </c>
      <c r="AQ35" s="46">
        <f t="shared" si="11"/>
        <v>0</v>
      </c>
      <c r="AR35" s="46">
        <f t="shared" si="11"/>
        <v>0</v>
      </c>
      <c r="AS35" s="46">
        <f t="shared" si="11"/>
        <v>0</v>
      </c>
      <c r="AT35" s="46">
        <f t="shared" si="11"/>
        <v>0</v>
      </c>
      <c r="AU35" s="46">
        <f t="shared" si="11"/>
        <v>0</v>
      </c>
    </row>
    <row r="36" spans="1:47" ht="15" customHeight="1" x14ac:dyDescent="0.4">
      <c r="A36" s="42">
        <v>26</v>
      </c>
      <c r="B36" s="42" t="s">
        <v>109</v>
      </c>
      <c r="C36" s="42" t="s">
        <v>23</v>
      </c>
      <c r="D36" s="43" t="s">
        <v>127</v>
      </c>
      <c r="E36" s="42" t="s">
        <v>113</v>
      </c>
      <c r="F36" s="42">
        <v>8</v>
      </c>
      <c r="G36" s="42">
        <f>DATA!K27</f>
        <v>-4</v>
      </c>
      <c r="H36" s="42">
        <f>DATA!L27</f>
        <v>4</v>
      </c>
      <c r="I36" s="42">
        <f>DATA!O27</f>
        <v>-4</v>
      </c>
      <c r="J36" s="42">
        <f>DATA!P27</f>
        <v>4</v>
      </c>
      <c r="K36" s="44">
        <f>DATA!N27</f>
        <v>0</v>
      </c>
      <c r="L36" s="45">
        <v>2</v>
      </c>
      <c r="M36" s="46">
        <f t="shared" si="9"/>
        <v>0</v>
      </c>
      <c r="N36" s="46">
        <f t="shared" si="9"/>
        <v>0</v>
      </c>
      <c r="O36" s="46">
        <f t="shared" si="9"/>
        <v>0</v>
      </c>
      <c r="P36" s="46">
        <f t="shared" si="9"/>
        <v>0</v>
      </c>
      <c r="Q36" s="46">
        <f t="shared" si="9"/>
        <v>0</v>
      </c>
      <c r="R36" s="46">
        <f t="shared" si="9"/>
        <v>0</v>
      </c>
      <c r="S36" s="46">
        <f t="shared" si="9"/>
        <v>0</v>
      </c>
      <c r="T36" s="46">
        <f t="shared" si="9"/>
        <v>0</v>
      </c>
      <c r="U36" s="46">
        <f t="shared" si="9"/>
        <v>0</v>
      </c>
      <c r="V36" s="46">
        <f t="shared" si="9"/>
        <v>0</v>
      </c>
      <c r="W36" s="46">
        <f t="shared" si="10"/>
        <v>0</v>
      </c>
      <c r="X36" s="46">
        <f t="shared" si="10"/>
        <v>0</v>
      </c>
      <c r="Y36" s="46">
        <f t="shared" si="10"/>
        <v>0</v>
      </c>
      <c r="Z36" s="46">
        <f t="shared" si="10"/>
        <v>0</v>
      </c>
      <c r="AA36" s="46">
        <f t="shared" si="10"/>
        <v>2</v>
      </c>
      <c r="AB36" s="46">
        <f t="shared" si="10"/>
        <v>2</v>
      </c>
      <c r="AC36" s="47">
        <f t="shared" si="10"/>
        <v>2</v>
      </c>
      <c r="AD36" s="46">
        <f t="shared" si="10"/>
        <v>2</v>
      </c>
      <c r="AE36" s="46">
        <f t="shared" si="10"/>
        <v>0</v>
      </c>
      <c r="AF36" s="46">
        <f t="shared" si="10"/>
        <v>0</v>
      </c>
      <c r="AG36" s="46">
        <f t="shared" si="11"/>
        <v>0</v>
      </c>
      <c r="AH36" s="46">
        <f t="shared" si="11"/>
        <v>0</v>
      </c>
      <c r="AI36" s="46">
        <f t="shared" si="11"/>
        <v>0</v>
      </c>
      <c r="AJ36" s="46">
        <f t="shared" si="11"/>
        <v>0</v>
      </c>
      <c r="AK36" s="46">
        <f t="shared" si="11"/>
        <v>0</v>
      </c>
      <c r="AL36" s="46">
        <f t="shared" si="11"/>
        <v>0</v>
      </c>
      <c r="AM36" s="46">
        <f t="shared" si="11"/>
        <v>0</v>
      </c>
      <c r="AN36" s="46">
        <f t="shared" si="11"/>
        <v>0</v>
      </c>
      <c r="AO36" s="46">
        <f t="shared" si="11"/>
        <v>0</v>
      </c>
      <c r="AP36" s="46">
        <f t="shared" si="11"/>
        <v>0</v>
      </c>
      <c r="AQ36" s="46">
        <f t="shared" si="11"/>
        <v>0</v>
      </c>
      <c r="AR36" s="46">
        <f t="shared" si="11"/>
        <v>0</v>
      </c>
      <c r="AS36" s="46">
        <f t="shared" si="11"/>
        <v>0</v>
      </c>
      <c r="AT36" s="46">
        <f t="shared" si="11"/>
        <v>0</v>
      </c>
      <c r="AU36" s="46">
        <f t="shared" si="11"/>
        <v>0</v>
      </c>
    </row>
    <row r="37" spans="1:47" ht="15" customHeight="1" x14ac:dyDescent="0.4">
      <c r="A37" s="42">
        <v>27</v>
      </c>
      <c r="B37" s="42" t="s">
        <v>109</v>
      </c>
      <c r="C37" s="42" t="s">
        <v>23</v>
      </c>
      <c r="D37" s="43" t="s">
        <v>128</v>
      </c>
      <c r="E37" s="42" t="s">
        <v>113</v>
      </c>
      <c r="F37" s="42">
        <v>6</v>
      </c>
      <c r="G37" s="42">
        <f>DATA!K28</f>
        <v>-2</v>
      </c>
      <c r="H37" s="42">
        <f>DATA!L28</f>
        <v>4</v>
      </c>
      <c r="I37" s="42">
        <f>DATA!O28</f>
        <v>-2</v>
      </c>
      <c r="J37" s="42">
        <f>DATA!P28</f>
        <v>4</v>
      </c>
      <c r="K37" s="44">
        <f>DATA!N28</f>
        <v>0</v>
      </c>
      <c r="L37" s="45">
        <v>3</v>
      </c>
      <c r="M37" s="46">
        <f t="shared" si="9"/>
        <v>0</v>
      </c>
      <c r="N37" s="46">
        <f t="shared" si="9"/>
        <v>0</v>
      </c>
      <c r="O37" s="46">
        <f t="shared" si="9"/>
        <v>0</v>
      </c>
      <c r="P37" s="46">
        <f t="shared" si="9"/>
        <v>0</v>
      </c>
      <c r="Q37" s="46">
        <f t="shared" si="9"/>
        <v>0</v>
      </c>
      <c r="R37" s="46">
        <f t="shared" si="9"/>
        <v>0</v>
      </c>
      <c r="S37" s="46">
        <f t="shared" si="9"/>
        <v>0</v>
      </c>
      <c r="T37" s="46">
        <f t="shared" si="9"/>
        <v>0</v>
      </c>
      <c r="U37" s="46">
        <f t="shared" si="9"/>
        <v>0</v>
      </c>
      <c r="V37" s="46">
        <f t="shared" si="9"/>
        <v>0</v>
      </c>
      <c r="W37" s="46">
        <f t="shared" si="10"/>
        <v>0</v>
      </c>
      <c r="X37" s="46">
        <f t="shared" si="10"/>
        <v>0</v>
      </c>
      <c r="Y37" s="46">
        <f t="shared" si="10"/>
        <v>0</v>
      </c>
      <c r="Z37" s="46">
        <f t="shared" si="10"/>
        <v>0</v>
      </c>
      <c r="AA37" s="46">
        <f t="shared" si="10"/>
        <v>0</v>
      </c>
      <c r="AB37" s="46">
        <f t="shared" si="10"/>
        <v>3</v>
      </c>
      <c r="AC37" s="47">
        <f t="shared" si="10"/>
        <v>3</v>
      </c>
      <c r="AD37" s="46">
        <f t="shared" si="10"/>
        <v>3</v>
      </c>
      <c r="AE37" s="46">
        <f t="shared" si="10"/>
        <v>0</v>
      </c>
      <c r="AF37" s="46">
        <f t="shared" si="10"/>
        <v>0</v>
      </c>
      <c r="AG37" s="46">
        <f t="shared" si="11"/>
        <v>0</v>
      </c>
      <c r="AH37" s="46">
        <f t="shared" si="11"/>
        <v>0</v>
      </c>
      <c r="AI37" s="46">
        <f t="shared" si="11"/>
        <v>0</v>
      </c>
      <c r="AJ37" s="46">
        <f t="shared" si="11"/>
        <v>0</v>
      </c>
      <c r="AK37" s="46">
        <f t="shared" si="11"/>
        <v>0</v>
      </c>
      <c r="AL37" s="46">
        <f t="shared" si="11"/>
        <v>0</v>
      </c>
      <c r="AM37" s="46">
        <f t="shared" si="11"/>
        <v>0</v>
      </c>
      <c r="AN37" s="46">
        <f t="shared" si="11"/>
        <v>0</v>
      </c>
      <c r="AO37" s="46">
        <f t="shared" si="11"/>
        <v>0</v>
      </c>
      <c r="AP37" s="46">
        <f t="shared" si="11"/>
        <v>0</v>
      </c>
      <c r="AQ37" s="46">
        <f t="shared" si="11"/>
        <v>0</v>
      </c>
      <c r="AR37" s="46">
        <f t="shared" si="11"/>
        <v>0</v>
      </c>
      <c r="AS37" s="46">
        <f t="shared" si="11"/>
        <v>0</v>
      </c>
      <c r="AT37" s="46">
        <f t="shared" si="11"/>
        <v>0</v>
      </c>
      <c r="AU37" s="46">
        <f t="shared" si="11"/>
        <v>0</v>
      </c>
    </row>
    <row r="38" spans="1:47" ht="15" customHeight="1" x14ac:dyDescent="0.4">
      <c r="A38" s="42">
        <v>28</v>
      </c>
      <c r="B38" s="42" t="s">
        <v>109</v>
      </c>
      <c r="C38" s="42" t="s">
        <v>23</v>
      </c>
      <c r="D38" s="43" t="s">
        <v>54</v>
      </c>
      <c r="E38" s="42" t="s">
        <v>118</v>
      </c>
      <c r="F38" s="42">
        <v>8</v>
      </c>
      <c r="G38" s="42">
        <f>DATA!K29</f>
        <v>4</v>
      </c>
      <c r="H38" s="42">
        <f>DATA!L29</f>
        <v>12</v>
      </c>
      <c r="I38" s="42">
        <f>DATA!O29</f>
        <v>4</v>
      </c>
      <c r="J38" s="42">
        <f>DATA!P29</f>
        <v>12</v>
      </c>
      <c r="K38" s="44">
        <f>DATA!N29</f>
        <v>0</v>
      </c>
      <c r="L38" s="45">
        <v>4</v>
      </c>
      <c r="M38" s="46">
        <f t="shared" si="9"/>
        <v>0</v>
      </c>
      <c r="N38" s="46">
        <f t="shared" si="9"/>
        <v>0</v>
      </c>
      <c r="O38" s="46">
        <f t="shared" si="9"/>
        <v>0</v>
      </c>
      <c r="P38" s="46">
        <f t="shared" si="9"/>
        <v>0</v>
      </c>
      <c r="Q38" s="46">
        <f t="shared" si="9"/>
        <v>0</v>
      </c>
      <c r="R38" s="46">
        <f t="shared" si="9"/>
        <v>0</v>
      </c>
      <c r="S38" s="46">
        <f t="shared" si="9"/>
        <v>0</v>
      </c>
      <c r="T38" s="46">
        <f t="shared" si="9"/>
        <v>0</v>
      </c>
      <c r="U38" s="46">
        <f t="shared" si="9"/>
        <v>0</v>
      </c>
      <c r="V38" s="46">
        <f t="shared" si="9"/>
        <v>0</v>
      </c>
      <c r="W38" s="46">
        <f t="shared" si="10"/>
        <v>0</v>
      </c>
      <c r="X38" s="46">
        <f t="shared" si="10"/>
        <v>0</v>
      </c>
      <c r="Y38" s="46">
        <f t="shared" si="10"/>
        <v>0</v>
      </c>
      <c r="Z38" s="46">
        <f t="shared" si="10"/>
        <v>0</v>
      </c>
      <c r="AA38" s="46">
        <f t="shared" si="10"/>
        <v>0</v>
      </c>
      <c r="AB38" s="46">
        <f t="shared" si="10"/>
        <v>0</v>
      </c>
      <c r="AC38" s="47">
        <f t="shared" si="10"/>
        <v>0</v>
      </c>
      <c r="AD38" s="46">
        <f t="shared" si="10"/>
        <v>0</v>
      </c>
      <c r="AE38" s="46">
        <f t="shared" si="10"/>
        <v>4</v>
      </c>
      <c r="AF38" s="46">
        <f t="shared" si="10"/>
        <v>4</v>
      </c>
      <c r="AG38" s="46">
        <f t="shared" si="11"/>
        <v>4</v>
      </c>
      <c r="AH38" s="46">
        <f t="shared" si="11"/>
        <v>4</v>
      </c>
      <c r="AI38" s="46">
        <f t="shared" si="11"/>
        <v>0</v>
      </c>
      <c r="AJ38" s="46">
        <f t="shared" si="11"/>
        <v>0</v>
      </c>
      <c r="AK38" s="46">
        <f t="shared" si="11"/>
        <v>0</v>
      </c>
      <c r="AL38" s="46">
        <f t="shared" si="11"/>
        <v>0</v>
      </c>
      <c r="AM38" s="46">
        <f t="shared" si="11"/>
        <v>0</v>
      </c>
      <c r="AN38" s="46">
        <f t="shared" si="11"/>
        <v>0</v>
      </c>
      <c r="AO38" s="46">
        <f t="shared" si="11"/>
        <v>0</v>
      </c>
      <c r="AP38" s="46">
        <f t="shared" si="11"/>
        <v>0</v>
      </c>
      <c r="AQ38" s="46">
        <f t="shared" si="11"/>
        <v>0</v>
      </c>
      <c r="AR38" s="46">
        <f t="shared" si="11"/>
        <v>0</v>
      </c>
      <c r="AS38" s="46">
        <f t="shared" si="11"/>
        <v>0</v>
      </c>
      <c r="AT38" s="46">
        <f t="shared" si="11"/>
        <v>0</v>
      </c>
      <c r="AU38" s="46">
        <f t="shared" si="11"/>
        <v>0</v>
      </c>
    </row>
    <row r="39" spans="1:47" ht="15" customHeight="1" x14ac:dyDescent="0.4">
      <c r="A39" s="42">
        <v>29</v>
      </c>
      <c r="B39" s="42" t="s">
        <v>109</v>
      </c>
      <c r="C39" s="42" t="s">
        <v>23</v>
      </c>
      <c r="D39" s="43" t="s">
        <v>119</v>
      </c>
      <c r="E39" s="42" t="s">
        <v>118</v>
      </c>
      <c r="F39" s="42">
        <v>2</v>
      </c>
      <c r="G39" s="42">
        <f>DATA!K30</f>
        <v>12</v>
      </c>
      <c r="H39" s="42">
        <f>DATA!L30</f>
        <v>14</v>
      </c>
      <c r="I39" s="42">
        <f>DATA!O30</f>
        <v>12</v>
      </c>
      <c r="J39" s="42">
        <f>DATA!P30</f>
        <v>14</v>
      </c>
      <c r="K39" s="44">
        <f>DATA!N30</f>
        <v>0</v>
      </c>
      <c r="L39" s="45">
        <v>5</v>
      </c>
      <c r="M39" s="46">
        <f t="shared" si="9"/>
        <v>0</v>
      </c>
      <c r="N39" s="46">
        <f t="shared" si="9"/>
        <v>0</v>
      </c>
      <c r="O39" s="46">
        <f t="shared" si="9"/>
        <v>0</v>
      </c>
      <c r="P39" s="46">
        <f t="shared" si="9"/>
        <v>0</v>
      </c>
      <c r="Q39" s="46">
        <f t="shared" si="9"/>
        <v>0</v>
      </c>
      <c r="R39" s="46">
        <f t="shared" si="9"/>
        <v>0</v>
      </c>
      <c r="S39" s="46">
        <f t="shared" si="9"/>
        <v>0</v>
      </c>
      <c r="T39" s="46">
        <f t="shared" si="9"/>
        <v>0</v>
      </c>
      <c r="U39" s="46">
        <f t="shared" si="9"/>
        <v>0</v>
      </c>
      <c r="V39" s="46">
        <f t="shared" si="9"/>
        <v>0</v>
      </c>
      <c r="W39" s="46">
        <f t="shared" si="10"/>
        <v>0</v>
      </c>
      <c r="X39" s="46">
        <f t="shared" si="10"/>
        <v>0</v>
      </c>
      <c r="Y39" s="46">
        <f t="shared" si="10"/>
        <v>0</v>
      </c>
      <c r="Z39" s="46">
        <f t="shared" si="10"/>
        <v>0</v>
      </c>
      <c r="AA39" s="46">
        <f t="shared" si="10"/>
        <v>0</v>
      </c>
      <c r="AB39" s="46">
        <f t="shared" si="10"/>
        <v>0</v>
      </c>
      <c r="AC39" s="47">
        <f t="shared" si="10"/>
        <v>0</v>
      </c>
      <c r="AD39" s="46">
        <f t="shared" si="10"/>
        <v>0</v>
      </c>
      <c r="AE39" s="46">
        <f t="shared" si="10"/>
        <v>0</v>
      </c>
      <c r="AF39" s="46">
        <f t="shared" si="10"/>
        <v>0</v>
      </c>
      <c r="AG39" s="46">
        <f t="shared" si="11"/>
        <v>0</v>
      </c>
      <c r="AH39" s="46">
        <f t="shared" si="11"/>
        <v>0</v>
      </c>
      <c r="AI39" s="46">
        <f t="shared" si="11"/>
        <v>5</v>
      </c>
      <c r="AJ39" s="46">
        <f t="shared" si="11"/>
        <v>0</v>
      </c>
      <c r="AK39" s="46">
        <f t="shared" si="11"/>
        <v>0</v>
      </c>
      <c r="AL39" s="46">
        <f t="shared" si="11"/>
        <v>0</v>
      </c>
      <c r="AM39" s="46">
        <f t="shared" si="11"/>
        <v>0</v>
      </c>
      <c r="AN39" s="46">
        <f t="shared" si="11"/>
        <v>0</v>
      </c>
      <c r="AO39" s="46">
        <f t="shared" si="11"/>
        <v>0</v>
      </c>
      <c r="AP39" s="46">
        <f t="shared" si="11"/>
        <v>0</v>
      </c>
      <c r="AQ39" s="46">
        <f t="shared" si="11"/>
        <v>0</v>
      </c>
      <c r="AR39" s="46">
        <f t="shared" si="11"/>
        <v>0</v>
      </c>
      <c r="AS39" s="46">
        <f t="shared" si="11"/>
        <v>0</v>
      </c>
      <c r="AT39" s="46">
        <f t="shared" si="11"/>
        <v>0</v>
      </c>
      <c r="AU39" s="46">
        <f t="shared" si="11"/>
        <v>0</v>
      </c>
    </row>
    <row r="40" spans="1:47" ht="15" customHeight="1" x14ac:dyDescent="0.4">
      <c r="A40" s="42">
        <v>30</v>
      </c>
      <c r="B40" s="42" t="s">
        <v>109</v>
      </c>
      <c r="C40" s="42" t="s">
        <v>23</v>
      </c>
      <c r="D40" s="43" t="s">
        <v>125</v>
      </c>
      <c r="E40" s="42" t="s">
        <v>118</v>
      </c>
      <c r="F40" s="42">
        <v>2</v>
      </c>
      <c r="G40" s="42">
        <f>DATA!K31</f>
        <v>14</v>
      </c>
      <c r="H40" s="42">
        <f>DATA!L31</f>
        <v>16</v>
      </c>
      <c r="I40" s="42">
        <f>DATA!O31</f>
        <v>14</v>
      </c>
      <c r="J40" s="42">
        <f>DATA!P31</f>
        <v>16</v>
      </c>
      <c r="K40" s="44">
        <f>DATA!N31</f>
        <v>0</v>
      </c>
      <c r="L40" s="45">
        <v>6</v>
      </c>
      <c r="M40" s="46">
        <f t="shared" si="9"/>
        <v>0</v>
      </c>
      <c r="N40" s="46">
        <f t="shared" si="9"/>
        <v>0</v>
      </c>
      <c r="O40" s="46">
        <f t="shared" si="9"/>
        <v>0</v>
      </c>
      <c r="P40" s="46">
        <f t="shared" si="9"/>
        <v>0</v>
      </c>
      <c r="Q40" s="46">
        <f t="shared" si="9"/>
        <v>0</v>
      </c>
      <c r="R40" s="46">
        <f t="shared" si="9"/>
        <v>0</v>
      </c>
      <c r="S40" s="46">
        <f t="shared" si="9"/>
        <v>0</v>
      </c>
      <c r="T40" s="46">
        <f t="shared" si="9"/>
        <v>0</v>
      </c>
      <c r="U40" s="46">
        <f t="shared" si="9"/>
        <v>0</v>
      </c>
      <c r="V40" s="46">
        <f t="shared" si="9"/>
        <v>0</v>
      </c>
      <c r="W40" s="46">
        <f t="shared" si="10"/>
        <v>0</v>
      </c>
      <c r="X40" s="46">
        <f t="shared" si="10"/>
        <v>0</v>
      </c>
      <c r="Y40" s="46">
        <f t="shared" si="10"/>
        <v>0</v>
      </c>
      <c r="Z40" s="46">
        <f t="shared" si="10"/>
        <v>0</v>
      </c>
      <c r="AA40" s="46">
        <f t="shared" si="10"/>
        <v>0</v>
      </c>
      <c r="AB40" s="46">
        <f t="shared" si="10"/>
        <v>0</v>
      </c>
      <c r="AC40" s="47">
        <f t="shared" si="10"/>
        <v>0</v>
      </c>
      <c r="AD40" s="46">
        <f t="shared" si="10"/>
        <v>0</v>
      </c>
      <c r="AE40" s="46">
        <f t="shared" si="10"/>
        <v>0</v>
      </c>
      <c r="AF40" s="46">
        <f t="shared" si="10"/>
        <v>0</v>
      </c>
      <c r="AG40" s="46">
        <f t="shared" si="11"/>
        <v>0</v>
      </c>
      <c r="AH40" s="46">
        <f t="shared" si="11"/>
        <v>0</v>
      </c>
      <c r="AI40" s="46">
        <f t="shared" si="11"/>
        <v>0</v>
      </c>
      <c r="AJ40" s="46">
        <f t="shared" si="11"/>
        <v>6</v>
      </c>
      <c r="AK40" s="46">
        <f t="shared" si="11"/>
        <v>0</v>
      </c>
      <c r="AL40" s="46">
        <f t="shared" si="11"/>
        <v>0</v>
      </c>
      <c r="AM40" s="46">
        <f t="shared" si="11"/>
        <v>0</v>
      </c>
      <c r="AN40" s="46">
        <f t="shared" si="11"/>
        <v>0</v>
      </c>
      <c r="AO40" s="46">
        <f t="shared" si="11"/>
        <v>0</v>
      </c>
      <c r="AP40" s="46">
        <f t="shared" si="11"/>
        <v>0</v>
      </c>
      <c r="AQ40" s="46">
        <f t="shared" si="11"/>
        <v>0</v>
      </c>
      <c r="AR40" s="46">
        <f t="shared" si="11"/>
        <v>0</v>
      </c>
      <c r="AS40" s="46">
        <f t="shared" si="11"/>
        <v>0</v>
      </c>
      <c r="AT40" s="46">
        <f t="shared" si="11"/>
        <v>0</v>
      </c>
      <c r="AU40" s="46">
        <f t="shared" si="11"/>
        <v>0</v>
      </c>
    </row>
    <row r="41" spans="1:47" ht="15" customHeight="1" x14ac:dyDescent="0.4">
      <c r="A41" s="42">
        <v>31</v>
      </c>
      <c r="B41" s="42" t="s">
        <v>109</v>
      </c>
      <c r="C41" s="42" t="s">
        <v>23</v>
      </c>
      <c r="D41" s="43" t="s">
        <v>57</v>
      </c>
      <c r="E41" s="42" t="s">
        <v>118</v>
      </c>
      <c r="F41" s="42">
        <v>2</v>
      </c>
      <c r="G41" s="42">
        <f>DATA!K32</f>
        <v>16</v>
      </c>
      <c r="H41" s="42">
        <f>DATA!L32</f>
        <v>18</v>
      </c>
      <c r="I41" s="42">
        <f>DATA!O32</f>
        <v>16</v>
      </c>
      <c r="J41" s="42">
        <f>DATA!P32</f>
        <v>18</v>
      </c>
      <c r="K41" s="44">
        <f>DATA!N32</f>
        <v>0</v>
      </c>
      <c r="L41" s="45">
        <v>7</v>
      </c>
      <c r="M41" s="46">
        <f t="shared" si="9"/>
        <v>0</v>
      </c>
      <c r="N41" s="46">
        <f t="shared" si="9"/>
        <v>0</v>
      </c>
      <c r="O41" s="46">
        <f t="shared" si="9"/>
        <v>0</v>
      </c>
      <c r="P41" s="46">
        <f t="shared" si="9"/>
        <v>0</v>
      </c>
      <c r="Q41" s="46">
        <f t="shared" si="9"/>
        <v>0</v>
      </c>
      <c r="R41" s="46">
        <f t="shared" si="9"/>
        <v>0</v>
      </c>
      <c r="S41" s="46">
        <f t="shared" si="9"/>
        <v>0</v>
      </c>
      <c r="T41" s="46">
        <f t="shared" si="9"/>
        <v>0</v>
      </c>
      <c r="U41" s="46">
        <f t="shared" si="9"/>
        <v>0</v>
      </c>
      <c r="V41" s="46">
        <f t="shared" si="9"/>
        <v>0</v>
      </c>
      <c r="W41" s="46">
        <f t="shared" si="10"/>
        <v>0</v>
      </c>
      <c r="X41" s="46">
        <f t="shared" si="10"/>
        <v>0</v>
      </c>
      <c r="Y41" s="46">
        <f t="shared" si="10"/>
        <v>0</v>
      </c>
      <c r="Z41" s="46">
        <f t="shared" si="10"/>
        <v>0</v>
      </c>
      <c r="AA41" s="46">
        <f t="shared" si="10"/>
        <v>0</v>
      </c>
      <c r="AB41" s="46">
        <f t="shared" si="10"/>
        <v>0</v>
      </c>
      <c r="AC41" s="47">
        <f t="shared" si="10"/>
        <v>0</v>
      </c>
      <c r="AD41" s="46">
        <f t="shared" si="10"/>
        <v>0</v>
      </c>
      <c r="AE41" s="46">
        <f t="shared" si="10"/>
        <v>0</v>
      </c>
      <c r="AF41" s="46">
        <f t="shared" si="10"/>
        <v>0</v>
      </c>
      <c r="AG41" s="46">
        <f t="shared" si="11"/>
        <v>0</v>
      </c>
      <c r="AH41" s="46">
        <f t="shared" si="11"/>
        <v>0</v>
      </c>
      <c r="AI41" s="46">
        <f t="shared" si="11"/>
        <v>0</v>
      </c>
      <c r="AJ41" s="46">
        <f t="shared" si="11"/>
        <v>0</v>
      </c>
      <c r="AK41" s="46">
        <f t="shared" si="11"/>
        <v>7</v>
      </c>
      <c r="AL41" s="46">
        <f t="shared" si="11"/>
        <v>0</v>
      </c>
      <c r="AM41" s="46">
        <f t="shared" si="11"/>
        <v>0</v>
      </c>
      <c r="AN41" s="46">
        <f t="shared" si="11"/>
        <v>0</v>
      </c>
      <c r="AO41" s="46">
        <f t="shared" si="11"/>
        <v>0</v>
      </c>
      <c r="AP41" s="46">
        <f t="shared" si="11"/>
        <v>0</v>
      </c>
      <c r="AQ41" s="46">
        <f t="shared" si="11"/>
        <v>0</v>
      </c>
      <c r="AR41" s="46">
        <f t="shared" si="11"/>
        <v>0</v>
      </c>
      <c r="AS41" s="46">
        <f t="shared" si="11"/>
        <v>0</v>
      </c>
      <c r="AT41" s="46">
        <f t="shared" si="11"/>
        <v>0</v>
      </c>
      <c r="AU41" s="46">
        <f t="shared" si="11"/>
        <v>0</v>
      </c>
    </row>
    <row r="42" spans="1:47" ht="16.05" customHeight="1" x14ac:dyDescent="0.4">
      <c r="A42" s="62" t="s">
        <v>195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8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</row>
    <row r="43" spans="1:47" ht="15" customHeight="1" x14ac:dyDescent="0.4">
      <c r="A43" s="36">
        <v>32</v>
      </c>
      <c r="B43" s="36" t="s">
        <v>109</v>
      </c>
      <c r="C43" s="36" t="s">
        <v>28</v>
      </c>
      <c r="D43" s="37" t="s">
        <v>111</v>
      </c>
      <c r="E43" s="36" t="s">
        <v>113</v>
      </c>
      <c r="F43" s="36">
        <v>8</v>
      </c>
      <c r="G43" s="36">
        <f>DATA!K33</f>
        <v>-12</v>
      </c>
      <c r="H43" s="36">
        <f>DATA!L33</f>
        <v>-4</v>
      </c>
      <c r="I43" s="36">
        <f>DATA!O33</f>
        <v>-12</v>
      </c>
      <c r="J43" s="36">
        <f>DATA!P33</f>
        <v>-4</v>
      </c>
      <c r="K43" s="48">
        <f>DATA!N33</f>
        <v>0</v>
      </c>
      <c r="L43" s="49">
        <v>1</v>
      </c>
      <c r="M43" s="38">
        <f t="shared" ref="M43:V49" si="12">IF(AND(M$5&gt;=$I43,M$5&lt;$J43),IF(AND(M$5&gt;=$G43,M$5&lt;$H43),$L43,$L43+100),IF(AND(M$5&gt;=$G43,M$5&lt;$H43),-1,0))</f>
        <v>0</v>
      </c>
      <c r="N43" s="38">
        <f t="shared" si="12"/>
        <v>0</v>
      </c>
      <c r="O43" s="38">
        <f t="shared" si="12"/>
        <v>0</v>
      </c>
      <c r="P43" s="38">
        <f t="shared" si="12"/>
        <v>0</v>
      </c>
      <c r="Q43" s="38">
        <f t="shared" si="12"/>
        <v>0</v>
      </c>
      <c r="R43" s="38">
        <f t="shared" si="12"/>
        <v>0</v>
      </c>
      <c r="S43" s="38">
        <f t="shared" si="12"/>
        <v>0</v>
      </c>
      <c r="T43" s="38">
        <f t="shared" si="12"/>
        <v>0</v>
      </c>
      <c r="U43" s="38">
        <f t="shared" si="12"/>
        <v>0</v>
      </c>
      <c r="V43" s="38">
        <f t="shared" si="12"/>
        <v>0</v>
      </c>
      <c r="W43" s="38">
        <f t="shared" ref="W43:AF49" si="13">IF(AND(W$5&gt;=$I43,W$5&lt;$J43),IF(AND(W$5&gt;=$G43,W$5&lt;$H43),$L43,$L43+100),IF(AND(W$5&gt;=$G43,W$5&lt;$H43),-1,0))</f>
        <v>1</v>
      </c>
      <c r="X43" s="38">
        <f t="shared" si="13"/>
        <v>1</v>
      </c>
      <c r="Y43" s="38">
        <f t="shared" si="13"/>
        <v>1</v>
      </c>
      <c r="Z43" s="38">
        <f t="shared" si="13"/>
        <v>1</v>
      </c>
      <c r="AA43" s="38">
        <f t="shared" si="13"/>
        <v>0</v>
      </c>
      <c r="AB43" s="38">
        <f t="shared" si="13"/>
        <v>0</v>
      </c>
      <c r="AC43" s="39">
        <f t="shared" si="13"/>
        <v>0</v>
      </c>
      <c r="AD43" s="38">
        <f t="shared" si="13"/>
        <v>0</v>
      </c>
      <c r="AE43" s="38">
        <f t="shared" si="13"/>
        <v>0</v>
      </c>
      <c r="AF43" s="38">
        <f t="shared" si="13"/>
        <v>0</v>
      </c>
      <c r="AG43" s="38">
        <f t="shared" ref="AG43:AU49" si="14">IF(AND(AG$5&gt;=$I43,AG$5&lt;$J43),IF(AND(AG$5&gt;=$G43,AG$5&lt;$H43),$L43,$L43+100),IF(AND(AG$5&gt;=$G43,AG$5&lt;$H43),-1,0))</f>
        <v>0</v>
      </c>
      <c r="AH43" s="38">
        <f t="shared" si="14"/>
        <v>0</v>
      </c>
      <c r="AI43" s="38">
        <f t="shared" si="14"/>
        <v>0</v>
      </c>
      <c r="AJ43" s="38">
        <f t="shared" si="14"/>
        <v>0</v>
      </c>
      <c r="AK43" s="38">
        <f t="shared" si="14"/>
        <v>0</v>
      </c>
      <c r="AL43" s="38">
        <f t="shared" si="14"/>
        <v>0</v>
      </c>
      <c r="AM43" s="38">
        <f t="shared" si="14"/>
        <v>0</v>
      </c>
      <c r="AN43" s="38">
        <f t="shared" si="14"/>
        <v>0</v>
      </c>
      <c r="AO43" s="38">
        <f t="shared" si="14"/>
        <v>0</v>
      </c>
      <c r="AP43" s="38">
        <f t="shared" si="14"/>
        <v>0</v>
      </c>
      <c r="AQ43" s="38">
        <f t="shared" si="14"/>
        <v>0</v>
      </c>
      <c r="AR43" s="38">
        <f t="shared" si="14"/>
        <v>0</v>
      </c>
      <c r="AS43" s="38">
        <f t="shared" si="14"/>
        <v>0</v>
      </c>
      <c r="AT43" s="38">
        <f t="shared" si="14"/>
        <v>0</v>
      </c>
      <c r="AU43" s="38">
        <f t="shared" si="14"/>
        <v>0</v>
      </c>
    </row>
    <row r="44" spans="1:47" ht="15" customHeight="1" x14ac:dyDescent="0.4">
      <c r="A44" s="36">
        <v>33</v>
      </c>
      <c r="B44" s="36" t="s">
        <v>109</v>
      </c>
      <c r="C44" s="36" t="s">
        <v>28</v>
      </c>
      <c r="D44" s="37" t="s">
        <v>130</v>
      </c>
      <c r="E44" s="36" t="s">
        <v>113</v>
      </c>
      <c r="F44" s="36">
        <v>8</v>
      </c>
      <c r="G44" s="36">
        <f>DATA!K34</f>
        <v>-2</v>
      </c>
      <c r="H44" s="36">
        <f>DATA!L34</f>
        <v>6</v>
      </c>
      <c r="I44" s="36">
        <f>DATA!O34</f>
        <v>-2</v>
      </c>
      <c r="J44" s="36">
        <f>DATA!P34</f>
        <v>6</v>
      </c>
      <c r="K44" s="48">
        <f>DATA!N34</f>
        <v>0</v>
      </c>
      <c r="L44" s="49">
        <v>2</v>
      </c>
      <c r="M44" s="38">
        <f t="shared" si="12"/>
        <v>0</v>
      </c>
      <c r="N44" s="38">
        <f t="shared" si="12"/>
        <v>0</v>
      </c>
      <c r="O44" s="38">
        <f t="shared" si="12"/>
        <v>0</v>
      </c>
      <c r="P44" s="38">
        <f t="shared" si="12"/>
        <v>0</v>
      </c>
      <c r="Q44" s="38">
        <f t="shared" si="12"/>
        <v>0</v>
      </c>
      <c r="R44" s="38">
        <f t="shared" si="12"/>
        <v>0</v>
      </c>
      <c r="S44" s="38">
        <f t="shared" si="12"/>
        <v>0</v>
      </c>
      <c r="T44" s="38">
        <f t="shared" si="12"/>
        <v>0</v>
      </c>
      <c r="U44" s="38">
        <f t="shared" si="12"/>
        <v>0</v>
      </c>
      <c r="V44" s="38">
        <f t="shared" si="12"/>
        <v>0</v>
      </c>
      <c r="W44" s="38">
        <f t="shared" si="13"/>
        <v>0</v>
      </c>
      <c r="X44" s="38">
        <f t="shared" si="13"/>
        <v>0</v>
      </c>
      <c r="Y44" s="38">
        <f t="shared" si="13"/>
        <v>0</v>
      </c>
      <c r="Z44" s="38">
        <f t="shared" si="13"/>
        <v>0</v>
      </c>
      <c r="AA44" s="38">
        <f t="shared" si="13"/>
        <v>0</v>
      </c>
      <c r="AB44" s="38">
        <f t="shared" si="13"/>
        <v>2</v>
      </c>
      <c r="AC44" s="39">
        <f t="shared" si="13"/>
        <v>2</v>
      </c>
      <c r="AD44" s="38">
        <f t="shared" si="13"/>
        <v>2</v>
      </c>
      <c r="AE44" s="38">
        <f t="shared" si="13"/>
        <v>2</v>
      </c>
      <c r="AF44" s="38">
        <f t="shared" si="13"/>
        <v>0</v>
      </c>
      <c r="AG44" s="38">
        <f t="shared" si="14"/>
        <v>0</v>
      </c>
      <c r="AH44" s="38">
        <f t="shared" si="14"/>
        <v>0</v>
      </c>
      <c r="AI44" s="38">
        <f t="shared" si="14"/>
        <v>0</v>
      </c>
      <c r="AJ44" s="38">
        <f t="shared" si="14"/>
        <v>0</v>
      </c>
      <c r="AK44" s="38">
        <f t="shared" si="14"/>
        <v>0</v>
      </c>
      <c r="AL44" s="38">
        <f t="shared" si="14"/>
        <v>0</v>
      </c>
      <c r="AM44" s="38">
        <f t="shared" si="14"/>
        <v>0</v>
      </c>
      <c r="AN44" s="38">
        <f t="shared" si="14"/>
        <v>0</v>
      </c>
      <c r="AO44" s="38">
        <f t="shared" si="14"/>
        <v>0</v>
      </c>
      <c r="AP44" s="38">
        <f t="shared" si="14"/>
        <v>0</v>
      </c>
      <c r="AQ44" s="38">
        <f t="shared" si="14"/>
        <v>0</v>
      </c>
      <c r="AR44" s="38">
        <f t="shared" si="14"/>
        <v>0</v>
      </c>
      <c r="AS44" s="38">
        <f t="shared" si="14"/>
        <v>0</v>
      </c>
      <c r="AT44" s="38">
        <f t="shared" si="14"/>
        <v>0</v>
      </c>
      <c r="AU44" s="38">
        <f t="shared" si="14"/>
        <v>0</v>
      </c>
    </row>
    <row r="45" spans="1:47" ht="15" customHeight="1" x14ac:dyDescent="0.4">
      <c r="A45" s="36">
        <v>34</v>
      </c>
      <c r="B45" s="36" t="s">
        <v>109</v>
      </c>
      <c r="C45" s="36" t="s">
        <v>28</v>
      </c>
      <c r="D45" s="37" t="s">
        <v>53</v>
      </c>
      <c r="E45" s="36" t="s">
        <v>113</v>
      </c>
      <c r="F45" s="36">
        <v>6</v>
      </c>
      <c r="G45" s="36">
        <f>DATA!K35</f>
        <v>2</v>
      </c>
      <c r="H45" s="36">
        <f>DATA!L35</f>
        <v>8</v>
      </c>
      <c r="I45" s="36">
        <f>DATA!O35</f>
        <v>2</v>
      </c>
      <c r="J45" s="36">
        <f>DATA!P35</f>
        <v>8</v>
      </c>
      <c r="K45" s="48">
        <f>DATA!N35</f>
        <v>0</v>
      </c>
      <c r="L45" s="49">
        <v>3</v>
      </c>
      <c r="M45" s="38">
        <f t="shared" si="12"/>
        <v>0</v>
      </c>
      <c r="N45" s="38">
        <f t="shared" si="12"/>
        <v>0</v>
      </c>
      <c r="O45" s="38">
        <f t="shared" si="12"/>
        <v>0</v>
      </c>
      <c r="P45" s="38">
        <f t="shared" si="12"/>
        <v>0</v>
      </c>
      <c r="Q45" s="38">
        <f t="shared" si="12"/>
        <v>0</v>
      </c>
      <c r="R45" s="38">
        <f t="shared" si="12"/>
        <v>0</v>
      </c>
      <c r="S45" s="38">
        <f t="shared" si="12"/>
        <v>0</v>
      </c>
      <c r="T45" s="38">
        <f t="shared" si="12"/>
        <v>0</v>
      </c>
      <c r="U45" s="38">
        <f t="shared" si="12"/>
        <v>0</v>
      </c>
      <c r="V45" s="38">
        <f t="shared" si="12"/>
        <v>0</v>
      </c>
      <c r="W45" s="38">
        <f t="shared" si="13"/>
        <v>0</v>
      </c>
      <c r="X45" s="38">
        <f t="shared" si="13"/>
        <v>0</v>
      </c>
      <c r="Y45" s="38">
        <f t="shared" si="13"/>
        <v>0</v>
      </c>
      <c r="Z45" s="38">
        <f t="shared" si="13"/>
        <v>0</v>
      </c>
      <c r="AA45" s="38">
        <f t="shared" si="13"/>
        <v>0</v>
      </c>
      <c r="AB45" s="38">
        <f t="shared" si="13"/>
        <v>0</v>
      </c>
      <c r="AC45" s="39">
        <f t="shared" si="13"/>
        <v>0</v>
      </c>
      <c r="AD45" s="38">
        <f t="shared" si="13"/>
        <v>3</v>
      </c>
      <c r="AE45" s="38">
        <f t="shared" si="13"/>
        <v>3</v>
      </c>
      <c r="AF45" s="38">
        <f t="shared" si="13"/>
        <v>3</v>
      </c>
      <c r="AG45" s="38">
        <f t="shared" si="14"/>
        <v>0</v>
      </c>
      <c r="AH45" s="38">
        <f t="shared" si="14"/>
        <v>0</v>
      </c>
      <c r="AI45" s="38">
        <f t="shared" si="14"/>
        <v>0</v>
      </c>
      <c r="AJ45" s="38">
        <f t="shared" si="14"/>
        <v>0</v>
      </c>
      <c r="AK45" s="38">
        <f t="shared" si="14"/>
        <v>0</v>
      </c>
      <c r="AL45" s="38">
        <f t="shared" si="14"/>
        <v>0</v>
      </c>
      <c r="AM45" s="38">
        <f t="shared" si="14"/>
        <v>0</v>
      </c>
      <c r="AN45" s="38">
        <f t="shared" si="14"/>
        <v>0</v>
      </c>
      <c r="AO45" s="38">
        <f t="shared" si="14"/>
        <v>0</v>
      </c>
      <c r="AP45" s="38">
        <f t="shared" si="14"/>
        <v>0</v>
      </c>
      <c r="AQ45" s="38">
        <f t="shared" si="14"/>
        <v>0</v>
      </c>
      <c r="AR45" s="38">
        <f t="shared" si="14"/>
        <v>0</v>
      </c>
      <c r="AS45" s="38">
        <f t="shared" si="14"/>
        <v>0</v>
      </c>
      <c r="AT45" s="38">
        <f t="shared" si="14"/>
        <v>0</v>
      </c>
      <c r="AU45" s="38">
        <f t="shared" si="14"/>
        <v>0</v>
      </c>
    </row>
    <row r="46" spans="1:47" ht="15" customHeight="1" x14ac:dyDescent="0.4">
      <c r="A46" s="36">
        <v>35</v>
      </c>
      <c r="B46" s="36" t="s">
        <v>109</v>
      </c>
      <c r="C46" s="36" t="s">
        <v>28</v>
      </c>
      <c r="D46" s="37" t="s">
        <v>54</v>
      </c>
      <c r="E46" s="36" t="s">
        <v>118</v>
      </c>
      <c r="F46" s="36">
        <v>8</v>
      </c>
      <c r="G46" s="36">
        <f>DATA!K36</f>
        <v>6</v>
      </c>
      <c r="H46" s="36">
        <f>DATA!L36</f>
        <v>14</v>
      </c>
      <c r="I46" s="36">
        <f>DATA!O36</f>
        <v>6</v>
      </c>
      <c r="J46" s="36">
        <f>DATA!P36</f>
        <v>14</v>
      </c>
      <c r="K46" s="48">
        <f>DATA!N36</f>
        <v>0</v>
      </c>
      <c r="L46" s="49">
        <v>4</v>
      </c>
      <c r="M46" s="38">
        <f t="shared" si="12"/>
        <v>0</v>
      </c>
      <c r="N46" s="38">
        <f t="shared" si="12"/>
        <v>0</v>
      </c>
      <c r="O46" s="38">
        <f t="shared" si="12"/>
        <v>0</v>
      </c>
      <c r="P46" s="38">
        <f t="shared" si="12"/>
        <v>0</v>
      </c>
      <c r="Q46" s="38">
        <f t="shared" si="12"/>
        <v>0</v>
      </c>
      <c r="R46" s="38">
        <f t="shared" si="12"/>
        <v>0</v>
      </c>
      <c r="S46" s="38">
        <f t="shared" si="12"/>
        <v>0</v>
      </c>
      <c r="T46" s="38">
        <f t="shared" si="12"/>
        <v>0</v>
      </c>
      <c r="U46" s="38">
        <f t="shared" si="12"/>
        <v>0</v>
      </c>
      <c r="V46" s="38">
        <f t="shared" si="12"/>
        <v>0</v>
      </c>
      <c r="W46" s="38">
        <f t="shared" si="13"/>
        <v>0</v>
      </c>
      <c r="X46" s="38">
        <f t="shared" si="13"/>
        <v>0</v>
      </c>
      <c r="Y46" s="38">
        <f t="shared" si="13"/>
        <v>0</v>
      </c>
      <c r="Z46" s="38">
        <f t="shared" si="13"/>
        <v>0</v>
      </c>
      <c r="AA46" s="38">
        <f t="shared" si="13"/>
        <v>0</v>
      </c>
      <c r="AB46" s="38">
        <f t="shared" si="13"/>
        <v>0</v>
      </c>
      <c r="AC46" s="39">
        <f t="shared" si="13"/>
        <v>0</v>
      </c>
      <c r="AD46" s="38">
        <f t="shared" si="13"/>
        <v>0</v>
      </c>
      <c r="AE46" s="38">
        <f t="shared" si="13"/>
        <v>0</v>
      </c>
      <c r="AF46" s="38">
        <f t="shared" si="13"/>
        <v>4</v>
      </c>
      <c r="AG46" s="38">
        <f t="shared" si="14"/>
        <v>4</v>
      </c>
      <c r="AH46" s="38">
        <f t="shared" si="14"/>
        <v>4</v>
      </c>
      <c r="AI46" s="38">
        <f t="shared" si="14"/>
        <v>4</v>
      </c>
      <c r="AJ46" s="38">
        <f t="shared" si="14"/>
        <v>0</v>
      </c>
      <c r="AK46" s="38">
        <f t="shared" si="14"/>
        <v>0</v>
      </c>
      <c r="AL46" s="38">
        <f t="shared" si="14"/>
        <v>0</v>
      </c>
      <c r="AM46" s="38">
        <f t="shared" si="14"/>
        <v>0</v>
      </c>
      <c r="AN46" s="38">
        <f t="shared" si="14"/>
        <v>0</v>
      </c>
      <c r="AO46" s="38">
        <f t="shared" si="14"/>
        <v>0</v>
      </c>
      <c r="AP46" s="38">
        <f t="shared" si="14"/>
        <v>0</v>
      </c>
      <c r="AQ46" s="38">
        <f t="shared" si="14"/>
        <v>0</v>
      </c>
      <c r="AR46" s="38">
        <f t="shared" si="14"/>
        <v>0</v>
      </c>
      <c r="AS46" s="38">
        <f t="shared" si="14"/>
        <v>0</v>
      </c>
      <c r="AT46" s="38">
        <f t="shared" si="14"/>
        <v>0</v>
      </c>
      <c r="AU46" s="38">
        <f t="shared" si="14"/>
        <v>0</v>
      </c>
    </row>
    <row r="47" spans="1:47" ht="15" customHeight="1" x14ac:dyDescent="0.4">
      <c r="A47" s="36">
        <v>36</v>
      </c>
      <c r="B47" s="36" t="s">
        <v>109</v>
      </c>
      <c r="C47" s="36" t="s">
        <v>28</v>
      </c>
      <c r="D47" s="37" t="s">
        <v>119</v>
      </c>
      <c r="E47" s="36" t="s">
        <v>118</v>
      </c>
      <c r="F47" s="36">
        <v>2</v>
      </c>
      <c r="G47" s="36">
        <f>DATA!K37</f>
        <v>14</v>
      </c>
      <c r="H47" s="36">
        <f>DATA!L37</f>
        <v>16</v>
      </c>
      <c r="I47" s="36">
        <f>DATA!O37</f>
        <v>14</v>
      </c>
      <c r="J47" s="36">
        <f>DATA!P37</f>
        <v>16</v>
      </c>
      <c r="K47" s="48">
        <f>DATA!N37</f>
        <v>0</v>
      </c>
      <c r="L47" s="49">
        <v>5</v>
      </c>
      <c r="M47" s="38">
        <f t="shared" si="12"/>
        <v>0</v>
      </c>
      <c r="N47" s="38">
        <f t="shared" si="12"/>
        <v>0</v>
      </c>
      <c r="O47" s="38">
        <f t="shared" si="12"/>
        <v>0</v>
      </c>
      <c r="P47" s="38">
        <f t="shared" si="12"/>
        <v>0</v>
      </c>
      <c r="Q47" s="38">
        <f t="shared" si="12"/>
        <v>0</v>
      </c>
      <c r="R47" s="38">
        <f t="shared" si="12"/>
        <v>0</v>
      </c>
      <c r="S47" s="38">
        <f t="shared" si="12"/>
        <v>0</v>
      </c>
      <c r="T47" s="38">
        <f t="shared" si="12"/>
        <v>0</v>
      </c>
      <c r="U47" s="38">
        <f t="shared" si="12"/>
        <v>0</v>
      </c>
      <c r="V47" s="38">
        <f t="shared" si="12"/>
        <v>0</v>
      </c>
      <c r="W47" s="38">
        <f t="shared" si="13"/>
        <v>0</v>
      </c>
      <c r="X47" s="38">
        <f t="shared" si="13"/>
        <v>0</v>
      </c>
      <c r="Y47" s="38">
        <f t="shared" si="13"/>
        <v>0</v>
      </c>
      <c r="Z47" s="38">
        <f t="shared" si="13"/>
        <v>0</v>
      </c>
      <c r="AA47" s="38">
        <f t="shared" si="13"/>
        <v>0</v>
      </c>
      <c r="AB47" s="38">
        <f t="shared" si="13"/>
        <v>0</v>
      </c>
      <c r="AC47" s="39">
        <f t="shared" si="13"/>
        <v>0</v>
      </c>
      <c r="AD47" s="38">
        <f t="shared" si="13"/>
        <v>0</v>
      </c>
      <c r="AE47" s="38">
        <f t="shared" si="13"/>
        <v>0</v>
      </c>
      <c r="AF47" s="38">
        <f t="shared" si="13"/>
        <v>0</v>
      </c>
      <c r="AG47" s="38">
        <f t="shared" si="14"/>
        <v>0</v>
      </c>
      <c r="AH47" s="38">
        <f t="shared" si="14"/>
        <v>0</v>
      </c>
      <c r="AI47" s="38">
        <f t="shared" si="14"/>
        <v>0</v>
      </c>
      <c r="AJ47" s="38">
        <f t="shared" si="14"/>
        <v>5</v>
      </c>
      <c r="AK47" s="38">
        <f t="shared" si="14"/>
        <v>0</v>
      </c>
      <c r="AL47" s="38">
        <f t="shared" si="14"/>
        <v>0</v>
      </c>
      <c r="AM47" s="38">
        <f t="shared" si="14"/>
        <v>0</v>
      </c>
      <c r="AN47" s="38">
        <f t="shared" si="14"/>
        <v>0</v>
      </c>
      <c r="AO47" s="38">
        <f t="shared" si="14"/>
        <v>0</v>
      </c>
      <c r="AP47" s="38">
        <f t="shared" si="14"/>
        <v>0</v>
      </c>
      <c r="AQ47" s="38">
        <f t="shared" si="14"/>
        <v>0</v>
      </c>
      <c r="AR47" s="38">
        <f t="shared" si="14"/>
        <v>0</v>
      </c>
      <c r="AS47" s="38">
        <f t="shared" si="14"/>
        <v>0</v>
      </c>
      <c r="AT47" s="38">
        <f t="shared" si="14"/>
        <v>0</v>
      </c>
      <c r="AU47" s="38">
        <f t="shared" si="14"/>
        <v>0</v>
      </c>
    </row>
    <row r="48" spans="1:47" ht="15" customHeight="1" x14ac:dyDescent="0.4">
      <c r="A48" s="36">
        <v>37</v>
      </c>
      <c r="B48" s="36" t="s">
        <v>109</v>
      </c>
      <c r="C48" s="36" t="s">
        <v>28</v>
      </c>
      <c r="D48" s="37" t="s">
        <v>125</v>
      </c>
      <c r="E48" s="36" t="s">
        <v>118</v>
      </c>
      <c r="F48" s="36">
        <v>2</v>
      </c>
      <c r="G48" s="36">
        <f>DATA!K38</f>
        <v>16</v>
      </c>
      <c r="H48" s="36">
        <f>DATA!L38</f>
        <v>18</v>
      </c>
      <c r="I48" s="36">
        <f>DATA!O38</f>
        <v>16</v>
      </c>
      <c r="J48" s="36">
        <f>DATA!P38</f>
        <v>18</v>
      </c>
      <c r="K48" s="48">
        <f>DATA!N38</f>
        <v>0</v>
      </c>
      <c r="L48" s="49">
        <v>6</v>
      </c>
      <c r="M48" s="38">
        <f t="shared" si="12"/>
        <v>0</v>
      </c>
      <c r="N48" s="38">
        <f t="shared" si="12"/>
        <v>0</v>
      </c>
      <c r="O48" s="38">
        <f t="shared" si="12"/>
        <v>0</v>
      </c>
      <c r="P48" s="38">
        <f t="shared" si="12"/>
        <v>0</v>
      </c>
      <c r="Q48" s="38">
        <f t="shared" si="12"/>
        <v>0</v>
      </c>
      <c r="R48" s="38">
        <f t="shared" si="12"/>
        <v>0</v>
      </c>
      <c r="S48" s="38">
        <f t="shared" si="12"/>
        <v>0</v>
      </c>
      <c r="T48" s="38">
        <f t="shared" si="12"/>
        <v>0</v>
      </c>
      <c r="U48" s="38">
        <f t="shared" si="12"/>
        <v>0</v>
      </c>
      <c r="V48" s="38">
        <f t="shared" si="12"/>
        <v>0</v>
      </c>
      <c r="W48" s="38">
        <f t="shared" si="13"/>
        <v>0</v>
      </c>
      <c r="X48" s="38">
        <f t="shared" si="13"/>
        <v>0</v>
      </c>
      <c r="Y48" s="38">
        <f t="shared" si="13"/>
        <v>0</v>
      </c>
      <c r="Z48" s="38">
        <f t="shared" si="13"/>
        <v>0</v>
      </c>
      <c r="AA48" s="38">
        <f t="shared" si="13"/>
        <v>0</v>
      </c>
      <c r="AB48" s="38">
        <f t="shared" si="13"/>
        <v>0</v>
      </c>
      <c r="AC48" s="39">
        <f t="shared" si="13"/>
        <v>0</v>
      </c>
      <c r="AD48" s="38">
        <f t="shared" si="13"/>
        <v>0</v>
      </c>
      <c r="AE48" s="38">
        <f t="shared" si="13"/>
        <v>0</v>
      </c>
      <c r="AF48" s="38">
        <f t="shared" si="13"/>
        <v>0</v>
      </c>
      <c r="AG48" s="38">
        <f t="shared" si="14"/>
        <v>0</v>
      </c>
      <c r="AH48" s="38">
        <f t="shared" si="14"/>
        <v>0</v>
      </c>
      <c r="AI48" s="38">
        <f t="shared" si="14"/>
        <v>0</v>
      </c>
      <c r="AJ48" s="38">
        <f t="shared" si="14"/>
        <v>0</v>
      </c>
      <c r="AK48" s="38">
        <f t="shared" si="14"/>
        <v>6</v>
      </c>
      <c r="AL48" s="38">
        <f t="shared" si="14"/>
        <v>0</v>
      </c>
      <c r="AM48" s="38">
        <f t="shared" si="14"/>
        <v>0</v>
      </c>
      <c r="AN48" s="38">
        <f t="shared" si="14"/>
        <v>0</v>
      </c>
      <c r="AO48" s="38">
        <f t="shared" si="14"/>
        <v>0</v>
      </c>
      <c r="AP48" s="38">
        <f t="shared" si="14"/>
        <v>0</v>
      </c>
      <c r="AQ48" s="38">
        <f t="shared" si="14"/>
        <v>0</v>
      </c>
      <c r="AR48" s="38">
        <f t="shared" si="14"/>
        <v>0</v>
      </c>
      <c r="AS48" s="38">
        <f t="shared" si="14"/>
        <v>0</v>
      </c>
      <c r="AT48" s="38">
        <f t="shared" si="14"/>
        <v>0</v>
      </c>
      <c r="AU48" s="38">
        <f t="shared" si="14"/>
        <v>0</v>
      </c>
    </row>
    <row r="49" spans="1:47" ht="15" customHeight="1" x14ac:dyDescent="0.4">
      <c r="A49" s="36">
        <v>38</v>
      </c>
      <c r="B49" s="36" t="s">
        <v>109</v>
      </c>
      <c r="C49" s="36" t="s">
        <v>28</v>
      </c>
      <c r="D49" s="37" t="s">
        <v>57</v>
      </c>
      <c r="E49" s="36" t="s">
        <v>118</v>
      </c>
      <c r="F49" s="36">
        <v>2</v>
      </c>
      <c r="G49" s="36">
        <f>DATA!K39</f>
        <v>18</v>
      </c>
      <c r="H49" s="36">
        <f>DATA!L39</f>
        <v>20</v>
      </c>
      <c r="I49" s="36">
        <f>DATA!O39</f>
        <v>18</v>
      </c>
      <c r="J49" s="36">
        <f>DATA!P39</f>
        <v>20</v>
      </c>
      <c r="K49" s="48">
        <f>DATA!N39</f>
        <v>0</v>
      </c>
      <c r="L49" s="49">
        <v>7</v>
      </c>
      <c r="M49" s="38">
        <f t="shared" si="12"/>
        <v>0</v>
      </c>
      <c r="N49" s="38">
        <f t="shared" si="12"/>
        <v>0</v>
      </c>
      <c r="O49" s="38">
        <f t="shared" si="12"/>
        <v>0</v>
      </c>
      <c r="P49" s="38">
        <f t="shared" si="12"/>
        <v>0</v>
      </c>
      <c r="Q49" s="38">
        <f t="shared" si="12"/>
        <v>0</v>
      </c>
      <c r="R49" s="38">
        <f t="shared" si="12"/>
        <v>0</v>
      </c>
      <c r="S49" s="38">
        <f t="shared" si="12"/>
        <v>0</v>
      </c>
      <c r="T49" s="38">
        <f t="shared" si="12"/>
        <v>0</v>
      </c>
      <c r="U49" s="38">
        <f t="shared" si="12"/>
        <v>0</v>
      </c>
      <c r="V49" s="38">
        <f t="shared" si="12"/>
        <v>0</v>
      </c>
      <c r="W49" s="38">
        <f t="shared" si="13"/>
        <v>0</v>
      </c>
      <c r="X49" s="38">
        <f t="shared" si="13"/>
        <v>0</v>
      </c>
      <c r="Y49" s="38">
        <f t="shared" si="13"/>
        <v>0</v>
      </c>
      <c r="Z49" s="38">
        <f t="shared" si="13"/>
        <v>0</v>
      </c>
      <c r="AA49" s="38">
        <f t="shared" si="13"/>
        <v>0</v>
      </c>
      <c r="AB49" s="38">
        <f t="shared" si="13"/>
        <v>0</v>
      </c>
      <c r="AC49" s="39">
        <f t="shared" si="13"/>
        <v>0</v>
      </c>
      <c r="AD49" s="38">
        <f t="shared" si="13"/>
        <v>0</v>
      </c>
      <c r="AE49" s="38">
        <f t="shared" si="13"/>
        <v>0</v>
      </c>
      <c r="AF49" s="38">
        <f t="shared" si="13"/>
        <v>0</v>
      </c>
      <c r="AG49" s="38">
        <f t="shared" si="14"/>
        <v>0</v>
      </c>
      <c r="AH49" s="38">
        <f t="shared" si="14"/>
        <v>0</v>
      </c>
      <c r="AI49" s="38">
        <f t="shared" si="14"/>
        <v>0</v>
      </c>
      <c r="AJ49" s="38">
        <f t="shared" si="14"/>
        <v>0</v>
      </c>
      <c r="AK49" s="38">
        <f t="shared" si="14"/>
        <v>0</v>
      </c>
      <c r="AL49" s="38">
        <f t="shared" si="14"/>
        <v>7</v>
      </c>
      <c r="AM49" s="38">
        <f t="shared" si="14"/>
        <v>0</v>
      </c>
      <c r="AN49" s="38">
        <f t="shared" si="14"/>
        <v>0</v>
      </c>
      <c r="AO49" s="38">
        <f t="shared" si="14"/>
        <v>0</v>
      </c>
      <c r="AP49" s="38">
        <f t="shared" si="14"/>
        <v>0</v>
      </c>
      <c r="AQ49" s="38">
        <f t="shared" si="14"/>
        <v>0</v>
      </c>
      <c r="AR49" s="38">
        <f t="shared" si="14"/>
        <v>0</v>
      </c>
      <c r="AS49" s="38">
        <f t="shared" si="14"/>
        <v>0</v>
      </c>
      <c r="AT49" s="38">
        <f t="shared" si="14"/>
        <v>0</v>
      </c>
      <c r="AU49" s="38">
        <f t="shared" si="14"/>
        <v>0</v>
      </c>
    </row>
    <row r="50" spans="1:47" ht="16.05" customHeight="1" x14ac:dyDescent="0.4">
      <c r="A50" s="62" t="s">
        <v>196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8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</row>
    <row r="51" spans="1:47" ht="15" customHeight="1" x14ac:dyDescent="0.4">
      <c r="A51" s="42">
        <v>39</v>
      </c>
      <c r="B51" s="42" t="s">
        <v>109</v>
      </c>
      <c r="C51" s="42" t="s">
        <v>30</v>
      </c>
      <c r="D51" s="43" t="s">
        <v>111</v>
      </c>
      <c r="E51" s="42" t="s">
        <v>113</v>
      </c>
      <c r="F51" s="42">
        <v>10</v>
      </c>
      <c r="G51" s="42">
        <f>DATA!K40</f>
        <v>-16</v>
      </c>
      <c r="H51" s="42">
        <f>DATA!L40</f>
        <v>-6</v>
      </c>
      <c r="I51" s="42">
        <f>DATA!O40</f>
        <v>-16</v>
      </c>
      <c r="J51" s="42">
        <f>DATA!P40</f>
        <v>-6</v>
      </c>
      <c r="K51" s="44">
        <f>DATA!N40</f>
        <v>0</v>
      </c>
      <c r="L51" s="45">
        <v>1</v>
      </c>
      <c r="M51" s="46">
        <f t="shared" ref="M51:V57" si="15">IF(AND(M$5&gt;=$I51,M$5&lt;$J51),IF(AND(M$5&gt;=$G51,M$5&lt;$H51),$L51,$L51+100),IF(AND(M$5&gt;=$G51,M$5&lt;$H51),-1,0))</f>
        <v>0</v>
      </c>
      <c r="N51" s="46">
        <f t="shared" si="15"/>
        <v>0</v>
      </c>
      <c r="O51" s="46">
        <f t="shared" si="15"/>
        <v>0</v>
      </c>
      <c r="P51" s="46">
        <f t="shared" si="15"/>
        <v>0</v>
      </c>
      <c r="Q51" s="46">
        <f t="shared" si="15"/>
        <v>0</v>
      </c>
      <c r="R51" s="46">
        <f t="shared" si="15"/>
        <v>0</v>
      </c>
      <c r="S51" s="46">
        <f t="shared" si="15"/>
        <v>0</v>
      </c>
      <c r="T51" s="46">
        <f t="shared" si="15"/>
        <v>0</v>
      </c>
      <c r="U51" s="46">
        <f t="shared" si="15"/>
        <v>1</v>
      </c>
      <c r="V51" s="46">
        <f t="shared" si="15"/>
        <v>1</v>
      </c>
      <c r="W51" s="46">
        <f t="shared" ref="W51:AF57" si="16">IF(AND(W$5&gt;=$I51,W$5&lt;$J51),IF(AND(W$5&gt;=$G51,W$5&lt;$H51),$L51,$L51+100),IF(AND(W$5&gt;=$G51,W$5&lt;$H51),-1,0))</f>
        <v>1</v>
      </c>
      <c r="X51" s="46">
        <f t="shared" si="16"/>
        <v>1</v>
      </c>
      <c r="Y51" s="46">
        <f t="shared" si="16"/>
        <v>1</v>
      </c>
      <c r="Z51" s="46">
        <f t="shared" si="16"/>
        <v>0</v>
      </c>
      <c r="AA51" s="46">
        <f t="shared" si="16"/>
        <v>0</v>
      </c>
      <c r="AB51" s="46">
        <f t="shared" si="16"/>
        <v>0</v>
      </c>
      <c r="AC51" s="47">
        <f t="shared" si="16"/>
        <v>0</v>
      </c>
      <c r="AD51" s="46">
        <f t="shared" si="16"/>
        <v>0</v>
      </c>
      <c r="AE51" s="46">
        <f t="shared" si="16"/>
        <v>0</v>
      </c>
      <c r="AF51" s="46">
        <f t="shared" si="16"/>
        <v>0</v>
      </c>
      <c r="AG51" s="46">
        <f t="shared" ref="AG51:AU57" si="17">IF(AND(AG$5&gt;=$I51,AG$5&lt;$J51),IF(AND(AG$5&gt;=$G51,AG$5&lt;$H51),$L51,$L51+100),IF(AND(AG$5&gt;=$G51,AG$5&lt;$H51),-1,0))</f>
        <v>0</v>
      </c>
      <c r="AH51" s="46">
        <f t="shared" si="17"/>
        <v>0</v>
      </c>
      <c r="AI51" s="46">
        <f t="shared" si="17"/>
        <v>0</v>
      </c>
      <c r="AJ51" s="46">
        <f t="shared" si="17"/>
        <v>0</v>
      </c>
      <c r="AK51" s="46">
        <f t="shared" si="17"/>
        <v>0</v>
      </c>
      <c r="AL51" s="46">
        <f t="shared" si="17"/>
        <v>0</v>
      </c>
      <c r="AM51" s="46">
        <f t="shared" si="17"/>
        <v>0</v>
      </c>
      <c r="AN51" s="46">
        <f t="shared" si="17"/>
        <v>0</v>
      </c>
      <c r="AO51" s="46">
        <f t="shared" si="17"/>
        <v>0</v>
      </c>
      <c r="AP51" s="46">
        <f t="shared" si="17"/>
        <v>0</v>
      </c>
      <c r="AQ51" s="46">
        <f t="shared" si="17"/>
        <v>0</v>
      </c>
      <c r="AR51" s="46">
        <f t="shared" si="17"/>
        <v>0</v>
      </c>
      <c r="AS51" s="46">
        <f t="shared" si="17"/>
        <v>0</v>
      </c>
      <c r="AT51" s="46">
        <f t="shared" si="17"/>
        <v>0</v>
      </c>
      <c r="AU51" s="46">
        <f t="shared" si="17"/>
        <v>0</v>
      </c>
    </row>
    <row r="52" spans="1:47" ht="15" customHeight="1" x14ac:dyDescent="0.4">
      <c r="A52" s="42">
        <v>40</v>
      </c>
      <c r="B52" s="42" t="s">
        <v>109</v>
      </c>
      <c r="C52" s="42" t="s">
        <v>30</v>
      </c>
      <c r="D52" s="43" t="s">
        <v>52</v>
      </c>
      <c r="E52" s="42" t="s">
        <v>113</v>
      </c>
      <c r="F52" s="42">
        <v>8</v>
      </c>
      <c r="G52" s="42">
        <f>DATA!K41</f>
        <v>-4</v>
      </c>
      <c r="H52" s="42">
        <f>DATA!L41</f>
        <v>4</v>
      </c>
      <c r="I52" s="42">
        <f>DATA!O41</f>
        <v>-4</v>
      </c>
      <c r="J52" s="42">
        <f>DATA!P41</f>
        <v>4</v>
      </c>
      <c r="K52" s="44">
        <f>DATA!N41</f>
        <v>0</v>
      </c>
      <c r="L52" s="45">
        <v>2</v>
      </c>
      <c r="M52" s="46">
        <f t="shared" si="15"/>
        <v>0</v>
      </c>
      <c r="N52" s="46">
        <f t="shared" si="15"/>
        <v>0</v>
      </c>
      <c r="O52" s="46">
        <f t="shared" si="15"/>
        <v>0</v>
      </c>
      <c r="P52" s="46">
        <f t="shared" si="15"/>
        <v>0</v>
      </c>
      <c r="Q52" s="46">
        <f t="shared" si="15"/>
        <v>0</v>
      </c>
      <c r="R52" s="46">
        <f t="shared" si="15"/>
        <v>0</v>
      </c>
      <c r="S52" s="46">
        <f t="shared" si="15"/>
        <v>0</v>
      </c>
      <c r="T52" s="46">
        <f t="shared" si="15"/>
        <v>0</v>
      </c>
      <c r="U52" s="46">
        <f t="shared" si="15"/>
        <v>0</v>
      </c>
      <c r="V52" s="46">
        <f t="shared" si="15"/>
        <v>0</v>
      </c>
      <c r="W52" s="46">
        <f t="shared" si="16"/>
        <v>0</v>
      </c>
      <c r="X52" s="46">
        <f t="shared" si="16"/>
        <v>0</v>
      </c>
      <c r="Y52" s="46">
        <f t="shared" si="16"/>
        <v>0</v>
      </c>
      <c r="Z52" s="46">
        <f t="shared" si="16"/>
        <v>0</v>
      </c>
      <c r="AA52" s="46">
        <f t="shared" si="16"/>
        <v>2</v>
      </c>
      <c r="AB52" s="46">
        <f t="shared" si="16"/>
        <v>2</v>
      </c>
      <c r="AC52" s="47">
        <f t="shared" si="16"/>
        <v>2</v>
      </c>
      <c r="AD52" s="46">
        <f t="shared" si="16"/>
        <v>2</v>
      </c>
      <c r="AE52" s="46">
        <f t="shared" si="16"/>
        <v>0</v>
      </c>
      <c r="AF52" s="46">
        <f t="shared" si="16"/>
        <v>0</v>
      </c>
      <c r="AG52" s="46">
        <f t="shared" si="17"/>
        <v>0</v>
      </c>
      <c r="AH52" s="46">
        <f t="shared" si="17"/>
        <v>0</v>
      </c>
      <c r="AI52" s="46">
        <f t="shared" si="17"/>
        <v>0</v>
      </c>
      <c r="AJ52" s="46">
        <f t="shared" si="17"/>
        <v>0</v>
      </c>
      <c r="AK52" s="46">
        <f t="shared" si="17"/>
        <v>0</v>
      </c>
      <c r="AL52" s="46">
        <f t="shared" si="17"/>
        <v>0</v>
      </c>
      <c r="AM52" s="46">
        <f t="shared" si="17"/>
        <v>0</v>
      </c>
      <c r="AN52" s="46">
        <f t="shared" si="17"/>
        <v>0</v>
      </c>
      <c r="AO52" s="46">
        <f t="shared" si="17"/>
        <v>0</v>
      </c>
      <c r="AP52" s="46">
        <f t="shared" si="17"/>
        <v>0</v>
      </c>
      <c r="AQ52" s="46">
        <f t="shared" si="17"/>
        <v>0</v>
      </c>
      <c r="AR52" s="46">
        <f t="shared" si="17"/>
        <v>0</v>
      </c>
      <c r="AS52" s="46">
        <f t="shared" si="17"/>
        <v>0</v>
      </c>
      <c r="AT52" s="46">
        <f t="shared" si="17"/>
        <v>0</v>
      </c>
      <c r="AU52" s="46">
        <f t="shared" si="17"/>
        <v>0</v>
      </c>
    </row>
    <row r="53" spans="1:47" ht="15" customHeight="1" x14ac:dyDescent="0.4">
      <c r="A53" s="42">
        <v>41</v>
      </c>
      <c r="B53" s="42" t="s">
        <v>109</v>
      </c>
      <c r="C53" s="42" t="s">
        <v>30</v>
      </c>
      <c r="D53" s="43" t="s">
        <v>53</v>
      </c>
      <c r="E53" s="42" t="s">
        <v>113</v>
      </c>
      <c r="F53" s="42">
        <v>4</v>
      </c>
      <c r="G53" s="42">
        <f>DATA!K42</f>
        <v>2</v>
      </c>
      <c r="H53" s="42">
        <f>DATA!L42</f>
        <v>6</v>
      </c>
      <c r="I53" s="42">
        <f>DATA!O42</f>
        <v>2</v>
      </c>
      <c r="J53" s="42">
        <f>DATA!P42</f>
        <v>6</v>
      </c>
      <c r="K53" s="44">
        <f>DATA!N42</f>
        <v>0</v>
      </c>
      <c r="L53" s="45">
        <v>3</v>
      </c>
      <c r="M53" s="46">
        <f t="shared" si="15"/>
        <v>0</v>
      </c>
      <c r="N53" s="46">
        <f t="shared" si="15"/>
        <v>0</v>
      </c>
      <c r="O53" s="46">
        <f t="shared" si="15"/>
        <v>0</v>
      </c>
      <c r="P53" s="46">
        <f t="shared" si="15"/>
        <v>0</v>
      </c>
      <c r="Q53" s="46">
        <f t="shared" si="15"/>
        <v>0</v>
      </c>
      <c r="R53" s="46">
        <f t="shared" si="15"/>
        <v>0</v>
      </c>
      <c r="S53" s="46">
        <f t="shared" si="15"/>
        <v>0</v>
      </c>
      <c r="T53" s="46">
        <f t="shared" si="15"/>
        <v>0</v>
      </c>
      <c r="U53" s="46">
        <f t="shared" si="15"/>
        <v>0</v>
      </c>
      <c r="V53" s="46">
        <f t="shared" si="15"/>
        <v>0</v>
      </c>
      <c r="W53" s="46">
        <f t="shared" si="16"/>
        <v>0</v>
      </c>
      <c r="X53" s="46">
        <f t="shared" si="16"/>
        <v>0</v>
      </c>
      <c r="Y53" s="46">
        <f t="shared" si="16"/>
        <v>0</v>
      </c>
      <c r="Z53" s="46">
        <f t="shared" si="16"/>
        <v>0</v>
      </c>
      <c r="AA53" s="46">
        <f t="shared" si="16"/>
        <v>0</v>
      </c>
      <c r="AB53" s="46">
        <f t="shared" si="16"/>
        <v>0</v>
      </c>
      <c r="AC53" s="47">
        <f t="shared" si="16"/>
        <v>0</v>
      </c>
      <c r="AD53" s="46">
        <f t="shared" si="16"/>
        <v>3</v>
      </c>
      <c r="AE53" s="46">
        <f t="shared" si="16"/>
        <v>3</v>
      </c>
      <c r="AF53" s="46">
        <f t="shared" si="16"/>
        <v>0</v>
      </c>
      <c r="AG53" s="46">
        <f t="shared" si="17"/>
        <v>0</v>
      </c>
      <c r="AH53" s="46">
        <f t="shared" si="17"/>
        <v>0</v>
      </c>
      <c r="AI53" s="46">
        <f t="shared" si="17"/>
        <v>0</v>
      </c>
      <c r="AJ53" s="46">
        <f t="shared" si="17"/>
        <v>0</v>
      </c>
      <c r="AK53" s="46">
        <f t="shared" si="17"/>
        <v>0</v>
      </c>
      <c r="AL53" s="46">
        <f t="shared" si="17"/>
        <v>0</v>
      </c>
      <c r="AM53" s="46">
        <f t="shared" si="17"/>
        <v>0</v>
      </c>
      <c r="AN53" s="46">
        <f t="shared" si="17"/>
        <v>0</v>
      </c>
      <c r="AO53" s="46">
        <f t="shared" si="17"/>
        <v>0</v>
      </c>
      <c r="AP53" s="46">
        <f t="shared" si="17"/>
        <v>0</v>
      </c>
      <c r="AQ53" s="46">
        <f t="shared" si="17"/>
        <v>0</v>
      </c>
      <c r="AR53" s="46">
        <f t="shared" si="17"/>
        <v>0</v>
      </c>
      <c r="AS53" s="46">
        <f t="shared" si="17"/>
        <v>0</v>
      </c>
      <c r="AT53" s="46">
        <f t="shared" si="17"/>
        <v>0</v>
      </c>
      <c r="AU53" s="46">
        <f t="shared" si="17"/>
        <v>0</v>
      </c>
    </row>
    <row r="54" spans="1:47" ht="15" customHeight="1" x14ac:dyDescent="0.4">
      <c r="A54" s="42">
        <v>42</v>
      </c>
      <c r="B54" s="42" t="s">
        <v>109</v>
      </c>
      <c r="C54" s="42" t="s">
        <v>30</v>
      </c>
      <c r="D54" s="43" t="s">
        <v>54</v>
      </c>
      <c r="E54" s="42" t="s">
        <v>118</v>
      </c>
      <c r="F54" s="42">
        <v>8</v>
      </c>
      <c r="G54" s="42">
        <f>DATA!K43</f>
        <v>6</v>
      </c>
      <c r="H54" s="42">
        <f>DATA!L43</f>
        <v>14</v>
      </c>
      <c r="I54" s="42">
        <f>DATA!O43</f>
        <v>6</v>
      </c>
      <c r="J54" s="42">
        <f>DATA!P43</f>
        <v>14</v>
      </c>
      <c r="K54" s="44">
        <f>DATA!N43</f>
        <v>0</v>
      </c>
      <c r="L54" s="45">
        <v>4</v>
      </c>
      <c r="M54" s="46">
        <f t="shared" si="15"/>
        <v>0</v>
      </c>
      <c r="N54" s="46">
        <f t="shared" si="15"/>
        <v>0</v>
      </c>
      <c r="O54" s="46">
        <f t="shared" si="15"/>
        <v>0</v>
      </c>
      <c r="P54" s="46">
        <f t="shared" si="15"/>
        <v>0</v>
      </c>
      <c r="Q54" s="46">
        <f t="shared" si="15"/>
        <v>0</v>
      </c>
      <c r="R54" s="46">
        <f t="shared" si="15"/>
        <v>0</v>
      </c>
      <c r="S54" s="46">
        <f t="shared" si="15"/>
        <v>0</v>
      </c>
      <c r="T54" s="46">
        <f t="shared" si="15"/>
        <v>0</v>
      </c>
      <c r="U54" s="46">
        <f t="shared" si="15"/>
        <v>0</v>
      </c>
      <c r="V54" s="46">
        <f t="shared" si="15"/>
        <v>0</v>
      </c>
      <c r="W54" s="46">
        <f t="shared" si="16"/>
        <v>0</v>
      </c>
      <c r="X54" s="46">
        <f t="shared" si="16"/>
        <v>0</v>
      </c>
      <c r="Y54" s="46">
        <f t="shared" si="16"/>
        <v>0</v>
      </c>
      <c r="Z54" s="46">
        <f t="shared" si="16"/>
        <v>0</v>
      </c>
      <c r="AA54" s="46">
        <f t="shared" si="16"/>
        <v>0</v>
      </c>
      <c r="AB54" s="46">
        <f t="shared" si="16"/>
        <v>0</v>
      </c>
      <c r="AC54" s="47">
        <f t="shared" si="16"/>
        <v>0</v>
      </c>
      <c r="AD54" s="46">
        <f t="shared" si="16"/>
        <v>0</v>
      </c>
      <c r="AE54" s="46">
        <f t="shared" si="16"/>
        <v>0</v>
      </c>
      <c r="AF54" s="46">
        <f t="shared" si="16"/>
        <v>4</v>
      </c>
      <c r="AG54" s="46">
        <f t="shared" si="17"/>
        <v>4</v>
      </c>
      <c r="AH54" s="46">
        <f t="shared" si="17"/>
        <v>4</v>
      </c>
      <c r="AI54" s="46">
        <f t="shared" si="17"/>
        <v>4</v>
      </c>
      <c r="AJ54" s="46">
        <f t="shared" si="17"/>
        <v>0</v>
      </c>
      <c r="AK54" s="46">
        <f t="shared" si="17"/>
        <v>0</v>
      </c>
      <c r="AL54" s="46">
        <f t="shared" si="17"/>
        <v>0</v>
      </c>
      <c r="AM54" s="46">
        <f t="shared" si="17"/>
        <v>0</v>
      </c>
      <c r="AN54" s="46">
        <f t="shared" si="17"/>
        <v>0</v>
      </c>
      <c r="AO54" s="46">
        <f t="shared" si="17"/>
        <v>0</v>
      </c>
      <c r="AP54" s="46">
        <f t="shared" si="17"/>
        <v>0</v>
      </c>
      <c r="AQ54" s="46">
        <f t="shared" si="17"/>
        <v>0</v>
      </c>
      <c r="AR54" s="46">
        <f t="shared" si="17"/>
        <v>0</v>
      </c>
      <c r="AS54" s="46">
        <f t="shared" si="17"/>
        <v>0</v>
      </c>
      <c r="AT54" s="46">
        <f t="shared" si="17"/>
        <v>0</v>
      </c>
      <c r="AU54" s="46">
        <f t="shared" si="17"/>
        <v>0</v>
      </c>
    </row>
    <row r="55" spans="1:47" ht="15" customHeight="1" x14ac:dyDescent="0.4">
      <c r="A55" s="42">
        <v>43</v>
      </c>
      <c r="B55" s="42" t="s">
        <v>109</v>
      </c>
      <c r="C55" s="42" t="s">
        <v>30</v>
      </c>
      <c r="D55" s="43" t="s">
        <v>119</v>
      </c>
      <c r="E55" s="42" t="s">
        <v>118</v>
      </c>
      <c r="F55" s="42">
        <v>2</v>
      </c>
      <c r="G55" s="42">
        <f>DATA!K44</f>
        <v>14</v>
      </c>
      <c r="H55" s="42">
        <f>DATA!L44</f>
        <v>16</v>
      </c>
      <c r="I55" s="42">
        <f>DATA!O44</f>
        <v>14</v>
      </c>
      <c r="J55" s="42">
        <f>DATA!P44</f>
        <v>16</v>
      </c>
      <c r="K55" s="44">
        <f>DATA!N44</f>
        <v>0</v>
      </c>
      <c r="L55" s="45">
        <v>5</v>
      </c>
      <c r="M55" s="46">
        <f t="shared" si="15"/>
        <v>0</v>
      </c>
      <c r="N55" s="46">
        <f t="shared" si="15"/>
        <v>0</v>
      </c>
      <c r="O55" s="46">
        <f t="shared" si="15"/>
        <v>0</v>
      </c>
      <c r="P55" s="46">
        <f t="shared" si="15"/>
        <v>0</v>
      </c>
      <c r="Q55" s="46">
        <f t="shared" si="15"/>
        <v>0</v>
      </c>
      <c r="R55" s="46">
        <f t="shared" si="15"/>
        <v>0</v>
      </c>
      <c r="S55" s="46">
        <f t="shared" si="15"/>
        <v>0</v>
      </c>
      <c r="T55" s="46">
        <f t="shared" si="15"/>
        <v>0</v>
      </c>
      <c r="U55" s="46">
        <f t="shared" si="15"/>
        <v>0</v>
      </c>
      <c r="V55" s="46">
        <f t="shared" si="15"/>
        <v>0</v>
      </c>
      <c r="W55" s="46">
        <f t="shared" si="16"/>
        <v>0</v>
      </c>
      <c r="X55" s="46">
        <f t="shared" si="16"/>
        <v>0</v>
      </c>
      <c r="Y55" s="46">
        <f t="shared" si="16"/>
        <v>0</v>
      </c>
      <c r="Z55" s="46">
        <f t="shared" si="16"/>
        <v>0</v>
      </c>
      <c r="AA55" s="46">
        <f t="shared" si="16"/>
        <v>0</v>
      </c>
      <c r="AB55" s="46">
        <f t="shared" si="16"/>
        <v>0</v>
      </c>
      <c r="AC55" s="47">
        <f t="shared" si="16"/>
        <v>0</v>
      </c>
      <c r="AD55" s="46">
        <f t="shared" si="16"/>
        <v>0</v>
      </c>
      <c r="AE55" s="46">
        <f t="shared" si="16"/>
        <v>0</v>
      </c>
      <c r="AF55" s="46">
        <f t="shared" si="16"/>
        <v>0</v>
      </c>
      <c r="AG55" s="46">
        <f t="shared" si="17"/>
        <v>0</v>
      </c>
      <c r="AH55" s="46">
        <f t="shared" si="17"/>
        <v>0</v>
      </c>
      <c r="AI55" s="46">
        <f t="shared" si="17"/>
        <v>0</v>
      </c>
      <c r="AJ55" s="46">
        <f t="shared" si="17"/>
        <v>5</v>
      </c>
      <c r="AK55" s="46">
        <f t="shared" si="17"/>
        <v>0</v>
      </c>
      <c r="AL55" s="46">
        <f t="shared" si="17"/>
        <v>0</v>
      </c>
      <c r="AM55" s="46">
        <f t="shared" si="17"/>
        <v>0</v>
      </c>
      <c r="AN55" s="46">
        <f t="shared" si="17"/>
        <v>0</v>
      </c>
      <c r="AO55" s="46">
        <f t="shared" si="17"/>
        <v>0</v>
      </c>
      <c r="AP55" s="46">
        <f t="shared" si="17"/>
        <v>0</v>
      </c>
      <c r="AQ55" s="46">
        <f t="shared" si="17"/>
        <v>0</v>
      </c>
      <c r="AR55" s="46">
        <f t="shared" si="17"/>
        <v>0</v>
      </c>
      <c r="AS55" s="46">
        <f t="shared" si="17"/>
        <v>0</v>
      </c>
      <c r="AT55" s="46">
        <f t="shared" si="17"/>
        <v>0</v>
      </c>
      <c r="AU55" s="46">
        <f t="shared" si="17"/>
        <v>0</v>
      </c>
    </row>
    <row r="56" spans="1:47" ht="15" customHeight="1" x14ac:dyDescent="0.4">
      <c r="A56" s="42">
        <v>44</v>
      </c>
      <c r="B56" s="42" t="s">
        <v>109</v>
      </c>
      <c r="C56" s="42" t="s">
        <v>30</v>
      </c>
      <c r="D56" s="43" t="s">
        <v>132</v>
      </c>
      <c r="E56" s="42" t="s">
        <v>118</v>
      </c>
      <c r="F56" s="42">
        <v>2</v>
      </c>
      <c r="G56" s="42">
        <f>DATA!K45</f>
        <v>16</v>
      </c>
      <c r="H56" s="42">
        <f>DATA!L45</f>
        <v>18</v>
      </c>
      <c r="I56" s="42">
        <f>DATA!O45</f>
        <v>16</v>
      </c>
      <c r="J56" s="42">
        <f>DATA!P45</f>
        <v>18</v>
      </c>
      <c r="K56" s="44">
        <f>DATA!N45</f>
        <v>0</v>
      </c>
      <c r="L56" s="45">
        <v>6</v>
      </c>
      <c r="M56" s="46">
        <f t="shared" si="15"/>
        <v>0</v>
      </c>
      <c r="N56" s="46">
        <f t="shared" si="15"/>
        <v>0</v>
      </c>
      <c r="O56" s="46">
        <f t="shared" si="15"/>
        <v>0</v>
      </c>
      <c r="P56" s="46">
        <f t="shared" si="15"/>
        <v>0</v>
      </c>
      <c r="Q56" s="46">
        <f t="shared" si="15"/>
        <v>0</v>
      </c>
      <c r="R56" s="46">
        <f t="shared" si="15"/>
        <v>0</v>
      </c>
      <c r="S56" s="46">
        <f t="shared" si="15"/>
        <v>0</v>
      </c>
      <c r="T56" s="46">
        <f t="shared" si="15"/>
        <v>0</v>
      </c>
      <c r="U56" s="46">
        <f t="shared" si="15"/>
        <v>0</v>
      </c>
      <c r="V56" s="46">
        <f t="shared" si="15"/>
        <v>0</v>
      </c>
      <c r="W56" s="46">
        <f t="shared" si="16"/>
        <v>0</v>
      </c>
      <c r="X56" s="46">
        <f t="shared" si="16"/>
        <v>0</v>
      </c>
      <c r="Y56" s="46">
        <f t="shared" si="16"/>
        <v>0</v>
      </c>
      <c r="Z56" s="46">
        <f t="shared" si="16"/>
        <v>0</v>
      </c>
      <c r="AA56" s="46">
        <f t="shared" si="16"/>
        <v>0</v>
      </c>
      <c r="AB56" s="46">
        <f t="shared" si="16"/>
        <v>0</v>
      </c>
      <c r="AC56" s="47">
        <f t="shared" si="16"/>
        <v>0</v>
      </c>
      <c r="AD56" s="46">
        <f t="shared" si="16"/>
        <v>0</v>
      </c>
      <c r="AE56" s="46">
        <f t="shared" si="16"/>
        <v>0</v>
      </c>
      <c r="AF56" s="46">
        <f t="shared" si="16"/>
        <v>0</v>
      </c>
      <c r="AG56" s="46">
        <f t="shared" si="17"/>
        <v>0</v>
      </c>
      <c r="AH56" s="46">
        <f t="shared" si="17"/>
        <v>0</v>
      </c>
      <c r="AI56" s="46">
        <f t="shared" si="17"/>
        <v>0</v>
      </c>
      <c r="AJ56" s="46">
        <f t="shared" si="17"/>
        <v>0</v>
      </c>
      <c r="AK56" s="46">
        <f t="shared" si="17"/>
        <v>6</v>
      </c>
      <c r="AL56" s="46">
        <f t="shared" si="17"/>
        <v>0</v>
      </c>
      <c r="AM56" s="46">
        <f t="shared" si="17"/>
        <v>0</v>
      </c>
      <c r="AN56" s="46">
        <f t="shared" si="17"/>
        <v>0</v>
      </c>
      <c r="AO56" s="46">
        <f t="shared" si="17"/>
        <v>0</v>
      </c>
      <c r="AP56" s="46">
        <f t="shared" si="17"/>
        <v>0</v>
      </c>
      <c r="AQ56" s="46">
        <f t="shared" si="17"/>
        <v>0</v>
      </c>
      <c r="AR56" s="46">
        <f t="shared" si="17"/>
        <v>0</v>
      </c>
      <c r="AS56" s="46">
        <f t="shared" si="17"/>
        <v>0</v>
      </c>
      <c r="AT56" s="46">
        <f t="shared" si="17"/>
        <v>0</v>
      </c>
      <c r="AU56" s="46">
        <f t="shared" si="17"/>
        <v>0</v>
      </c>
    </row>
    <row r="57" spans="1:47" ht="15" customHeight="1" x14ac:dyDescent="0.4">
      <c r="A57" s="42">
        <v>45</v>
      </c>
      <c r="B57" s="42" t="s">
        <v>109</v>
      </c>
      <c r="C57" s="42" t="s">
        <v>30</v>
      </c>
      <c r="D57" s="43" t="s">
        <v>57</v>
      </c>
      <c r="E57" s="42" t="s">
        <v>118</v>
      </c>
      <c r="F57" s="42">
        <v>2</v>
      </c>
      <c r="G57" s="42">
        <f>DATA!K46</f>
        <v>18</v>
      </c>
      <c r="H57" s="42">
        <f>DATA!L46</f>
        <v>20</v>
      </c>
      <c r="I57" s="42">
        <f>DATA!O46</f>
        <v>18</v>
      </c>
      <c r="J57" s="42">
        <f>DATA!P46</f>
        <v>20</v>
      </c>
      <c r="K57" s="44">
        <f>DATA!N46</f>
        <v>0</v>
      </c>
      <c r="L57" s="45">
        <v>7</v>
      </c>
      <c r="M57" s="46">
        <f t="shared" si="15"/>
        <v>0</v>
      </c>
      <c r="N57" s="46">
        <f t="shared" si="15"/>
        <v>0</v>
      </c>
      <c r="O57" s="46">
        <f t="shared" si="15"/>
        <v>0</v>
      </c>
      <c r="P57" s="46">
        <f t="shared" si="15"/>
        <v>0</v>
      </c>
      <c r="Q57" s="46">
        <f t="shared" si="15"/>
        <v>0</v>
      </c>
      <c r="R57" s="46">
        <f t="shared" si="15"/>
        <v>0</v>
      </c>
      <c r="S57" s="46">
        <f t="shared" si="15"/>
        <v>0</v>
      </c>
      <c r="T57" s="46">
        <f t="shared" si="15"/>
        <v>0</v>
      </c>
      <c r="U57" s="46">
        <f t="shared" si="15"/>
        <v>0</v>
      </c>
      <c r="V57" s="46">
        <f t="shared" si="15"/>
        <v>0</v>
      </c>
      <c r="W57" s="46">
        <f t="shared" si="16"/>
        <v>0</v>
      </c>
      <c r="X57" s="46">
        <f t="shared" si="16"/>
        <v>0</v>
      </c>
      <c r="Y57" s="46">
        <f t="shared" si="16"/>
        <v>0</v>
      </c>
      <c r="Z57" s="46">
        <f t="shared" si="16"/>
        <v>0</v>
      </c>
      <c r="AA57" s="46">
        <f t="shared" si="16"/>
        <v>0</v>
      </c>
      <c r="AB57" s="46">
        <f t="shared" si="16"/>
        <v>0</v>
      </c>
      <c r="AC57" s="47">
        <f t="shared" si="16"/>
        <v>0</v>
      </c>
      <c r="AD57" s="46">
        <f t="shared" si="16"/>
        <v>0</v>
      </c>
      <c r="AE57" s="46">
        <f t="shared" si="16"/>
        <v>0</v>
      </c>
      <c r="AF57" s="46">
        <f t="shared" si="16"/>
        <v>0</v>
      </c>
      <c r="AG57" s="46">
        <f t="shared" si="17"/>
        <v>0</v>
      </c>
      <c r="AH57" s="46">
        <f t="shared" si="17"/>
        <v>0</v>
      </c>
      <c r="AI57" s="46">
        <f t="shared" si="17"/>
        <v>0</v>
      </c>
      <c r="AJ57" s="46">
        <f t="shared" si="17"/>
        <v>0</v>
      </c>
      <c r="AK57" s="46">
        <f t="shared" si="17"/>
        <v>0</v>
      </c>
      <c r="AL57" s="46">
        <f t="shared" si="17"/>
        <v>7</v>
      </c>
      <c r="AM57" s="46">
        <f t="shared" si="17"/>
        <v>0</v>
      </c>
      <c r="AN57" s="46">
        <f t="shared" si="17"/>
        <v>0</v>
      </c>
      <c r="AO57" s="46">
        <f t="shared" si="17"/>
        <v>0</v>
      </c>
      <c r="AP57" s="46">
        <f t="shared" si="17"/>
        <v>0</v>
      </c>
      <c r="AQ57" s="46">
        <f t="shared" si="17"/>
        <v>0</v>
      </c>
      <c r="AR57" s="46">
        <f t="shared" si="17"/>
        <v>0</v>
      </c>
      <c r="AS57" s="46">
        <f t="shared" si="17"/>
        <v>0</v>
      </c>
      <c r="AT57" s="46">
        <f t="shared" si="17"/>
        <v>0</v>
      </c>
      <c r="AU57" s="46">
        <f t="shared" si="17"/>
        <v>0</v>
      </c>
    </row>
    <row r="58" spans="1:47" ht="16.05" customHeight="1" x14ac:dyDescent="0.4">
      <c r="A58" s="62" t="s">
        <v>197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8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</row>
    <row r="59" spans="1:47" ht="15" customHeight="1" x14ac:dyDescent="0.4">
      <c r="A59" s="36">
        <v>46</v>
      </c>
      <c r="B59" s="36" t="s">
        <v>109</v>
      </c>
      <c r="C59" s="36" t="s">
        <v>33</v>
      </c>
      <c r="D59" s="37" t="s">
        <v>111</v>
      </c>
      <c r="E59" s="36" t="s">
        <v>113</v>
      </c>
      <c r="F59" s="36">
        <v>8</v>
      </c>
      <c r="G59" s="36">
        <f>DATA!K47</f>
        <v>-12</v>
      </c>
      <c r="H59" s="36">
        <f>DATA!L47</f>
        <v>-4</v>
      </c>
      <c r="I59" s="36">
        <f>DATA!O47</f>
        <v>-12</v>
      </c>
      <c r="J59" s="36">
        <f>DATA!P47</f>
        <v>-4</v>
      </c>
      <c r="K59" s="48">
        <f>DATA!N47</f>
        <v>0</v>
      </c>
      <c r="L59" s="49">
        <v>1</v>
      </c>
      <c r="M59" s="38">
        <f t="shared" ref="M59:V65" si="18">IF(AND(M$5&gt;=$I59,M$5&lt;$J59),IF(AND(M$5&gt;=$G59,M$5&lt;$H59),$L59,$L59+100),IF(AND(M$5&gt;=$G59,M$5&lt;$H59),-1,0))</f>
        <v>0</v>
      </c>
      <c r="N59" s="38">
        <f t="shared" si="18"/>
        <v>0</v>
      </c>
      <c r="O59" s="38">
        <f t="shared" si="18"/>
        <v>0</v>
      </c>
      <c r="P59" s="38">
        <f t="shared" si="18"/>
        <v>0</v>
      </c>
      <c r="Q59" s="38">
        <f t="shared" si="18"/>
        <v>0</v>
      </c>
      <c r="R59" s="38">
        <f t="shared" si="18"/>
        <v>0</v>
      </c>
      <c r="S59" s="38">
        <f t="shared" si="18"/>
        <v>0</v>
      </c>
      <c r="T59" s="38">
        <f t="shared" si="18"/>
        <v>0</v>
      </c>
      <c r="U59" s="38">
        <f t="shared" si="18"/>
        <v>0</v>
      </c>
      <c r="V59" s="38">
        <f t="shared" si="18"/>
        <v>0</v>
      </c>
      <c r="W59" s="38">
        <f t="shared" ref="W59:AF65" si="19">IF(AND(W$5&gt;=$I59,W$5&lt;$J59),IF(AND(W$5&gt;=$G59,W$5&lt;$H59),$L59,$L59+100),IF(AND(W$5&gt;=$G59,W$5&lt;$H59),-1,0))</f>
        <v>1</v>
      </c>
      <c r="X59" s="38">
        <f t="shared" si="19"/>
        <v>1</v>
      </c>
      <c r="Y59" s="38">
        <f t="shared" si="19"/>
        <v>1</v>
      </c>
      <c r="Z59" s="38">
        <f t="shared" si="19"/>
        <v>1</v>
      </c>
      <c r="AA59" s="38">
        <f t="shared" si="19"/>
        <v>0</v>
      </c>
      <c r="AB59" s="38">
        <f t="shared" si="19"/>
        <v>0</v>
      </c>
      <c r="AC59" s="39">
        <f t="shared" si="19"/>
        <v>0</v>
      </c>
      <c r="AD59" s="38">
        <f t="shared" si="19"/>
        <v>0</v>
      </c>
      <c r="AE59" s="38">
        <f t="shared" si="19"/>
        <v>0</v>
      </c>
      <c r="AF59" s="38">
        <f t="shared" si="19"/>
        <v>0</v>
      </c>
      <c r="AG59" s="38">
        <f t="shared" ref="AG59:AU65" si="20">IF(AND(AG$5&gt;=$I59,AG$5&lt;$J59),IF(AND(AG$5&gt;=$G59,AG$5&lt;$H59),$L59,$L59+100),IF(AND(AG$5&gt;=$G59,AG$5&lt;$H59),-1,0))</f>
        <v>0</v>
      </c>
      <c r="AH59" s="38">
        <f t="shared" si="20"/>
        <v>0</v>
      </c>
      <c r="AI59" s="38">
        <f t="shared" si="20"/>
        <v>0</v>
      </c>
      <c r="AJ59" s="38">
        <f t="shared" si="20"/>
        <v>0</v>
      </c>
      <c r="AK59" s="38">
        <f t="shared" si="20"/>
        <v>0</v>
      </c>
      <c r="AL59" s="38">
        <f t="shared" si="20"/>
        <v>0</v>
      </c>
      <c r="AM59" s="38">
        <f t="shared" si="20"/>
        <v>0</v>
      </c>
      <c r="AN59" s="38">
        <f t="shared" si="20"/>
        <v>0</v>
      </c>
      <c r="AO59" s="38">
        <f t="shared" si="20"/>
        <v>0</v>
      </c>
      <c r="AP59" s="38">
        <f t="shared" si="20"/>
        <v>0</v>
      </c>
      <c r="AQ59" s="38">
        <f t="shared" si="20"/>
        <v>0</v>
      </c>
      <c r="AR59" s="38">
        <f t="shared" si="20"/>
        <v>0</v>
      </c>
      <c r="AS59" s="38">
        <f t="shared" si="20"/>
        <v>0</v>
      </c>
      <c r="AT59" s="38">
        <f t="shared" si="20"/>
        <v>0</v>
      </c>
      <c r="AU59" s="38">
        <f t="shared" si="20"/>
        <v>0</v>
      </c>
    </row>
    <row r="60" spans="1:47" ht="15" customHeight="1" x14ac:dyDescent="0.4">
      <c r="A60" s="36">
        <v>47</v>
      </c>
      <c r="B60" s="36" t="s">
        <v>109</v>
      </c>
      <c r="C60" s="36" t="s">
        <v>33</v>
      </c>
      <c r="D60" s="37" t="s">
        <v>52</v>
      </c>
      <c r="E60" s="36" t="s">
        <v>113</v>
      </c>
      <c r="F60" s="36">
        <v>6</v>
      </c>
      <c r="G60" s="36">
        <f>DATA!K48</f>
        <v>-2</v>
      </c>
      <c r="H60" s="36">
        <f>DATA!L48</f>
        <v>4</v>
      </c>
      <c r="I60" s="36">
        <f>DATA!O48</f>
        <v>-2</v>
      </c>
      <c r="J60" s="36">
        <f>DATA!P48</f>
        <v>4</v>
      </c>
      <c r="K60" s="48">
        <f>DATA!N48</f>
        <v>0</v>
      </c>
      <c r="L60" s="49">
        <v>2</v>
      </c>
      <c r="M60" s="38">
        <f t="shared" si="18"/>
        <v>0</v>
      </c>
      <c r="N60" s="38">
        <f t="shared" si="18"/>
        <v>0</v>
      </c>
      <c r="O60" s="38">
        <f t="shared" si="18"/>
        <v>0</v>
      </c>
      <c r="P60" s="38">
        <f t="shared" si="18"/>
        <v>0</v>
      </c>
      <c r="Q60" s="38">
        <f t="shared" si="18"/>
        <v>0</v>
      </c>
      <c r="R60" s="38">
        <f t="shared" si="18"/>
        <v>0</v>
      </c>
      <c r="S60" s="38">
        <f t="shared" si="18"/>
        <v>0</v>
      </c>
      <c r="T60" s="38">
        <f t="shared" si="18"/>
        <v>0</v>
      </c>
      <c r="U60" s="38">
        <f t="shared" si="18"/>
        <v>0</v>
      </c>
      <c r="V60" s="38">
        <f t="shared" si="18"/>
        <v>0</v>
      </c>
      <c r="W60" s="38">
        <f t="shared" si="19"/>
        <v>0</v>
      </c>
      <c r="X60" s="38">
        <f t="shared" si="19"/>
        <v>0</v>
      </c>
      <c r="Y60" s="38">
        <f t="shared" si="19"/>
        <v>0</v>
      </c>
      <c r="Z60" s="38">
        <f t="shared" si="19"/>
        <v>0</v>
      </c>
      <c r="AA60" s="38">
        <f t="shared" si="19"/>
        <v>0</v>
      </c>
      <c r="AB60" s="38">
        <f t="shared" si="19"/>
        <v>2</v>
      </c>
      <c r="AC60" s="39">
        <f t="shared" si="19"/>
        <v>2</v>
      </c>
      <c r="AD60" s="38">
        <f t="shared" si="19"/>
        <v>2</v>
      </c>
      <c r="AE60" s="38">
        <f t="shared" si="19"/>
        <v>0</v>
      </c>
      <c r="AF60" s="38">
        <f t="shared" si="19"/>
        <v>0</v>
      </c>
      <c r="AG60" s="38">
        <f t="shared" si="20"/>
        <v>0</v>
      </c>
      <c r="AH60" s="38">
        <f t="shared" si="20"/>
        <v>0</v>
      </c>
      <c r="AI60" s="38">
        <f t="shared" si="20"/>
        <v>0</v>
      </c>
      <c r="AJ60" s="38">
        <f t="shared" si="20"/>
        <v>0</v>
      </c>
      <c r="AK60" s="38">
        <f t="shared" si="20"/>
        <v>0</v>
      </c>
      <c r="AL60" s="38">
        <f t="shared" si="20"/>
        <v>0</v>
      </c>
      <c r="AM60" s="38">
        <f t="shared" si="20"/>
        <v>0</v>
      </c>
      <c r="AN60" s="38">
        <f t="shared" si="20"/>
        <v>0</v>
      </c>
      <c r="AO60" s="38">
        <f t="shared" si="20"/>
        <v>0</v>
      </c>
      <c r="AP60" s="38">
        <f t="shared" si="20"/>
        <v>0</v>
      </c>
      <c r="AQ60" s="38">
        <f t="shared" si="20"/>
        <v>0</v>
      </c>
      <c r="AR60" s="38">
        <f t="shared" si="20"/>
        <v>0</v>
      </c>
      <c r="AS60" s="38">
        <f t="shared" si="20"/>
        <v>0</v>
      </c>
      <c r="AT60" s="38">
        <f t="shared" si="20"/>
        <v>0</v>
      </c>
      <c r="AU60" s="38">
        <f t="shared" si="20"/>
        <v>0</v>
      </c>
    </row>
    <row r="61" spans="1:47" ht="15" customHeight="1" x14ac:dyDescent="0.4">
      <c r="A61" s="36">
        <v>48</v>
      </c>
      <c r="B61" s="36" t="s">
        <v>109</v>
      </c>
      <c r="C61" s="36" t="s">
        <v>33</v>
      </c>
      <c r="D61" s="37" t="s">
        <v>53</v>
      </c>
      <c r="E61" s="36" t="s">
        <v>113</v>
      </c>
      <c r="F61" s="36">
        <v>4</v>
      </c>
      <c r="G61" s="36">
        <f>DATA!K49</f>
        <v>2</v>
      </c>
      <c r="H61" s="36">
        <f>DATA!L49</f>
        <v>6</v>
      </c>
      <c r="I61" s="36">
        <f>DATA!O49</f>
        <v>2</v>
      </c>
      <c r="J61" s="36">
        <f>DATA!P49</f>
        <v>6</v>
      </c>
      <c r="K61" s="48">
        <f>DATA!N49</f>
        <v>0</v>
      </c>
      <c r="L61" s="49">
        <v>3</v>
      </c>
      <c r="M61" s="38">
        <f t="shared" si="18"/>
        <v>0</v>
      </c>
      <c r="N61" s="38">
        <f t="shared" si="18"/>
        <v>0</v>
      </c>
      <c r="O61" s="38">
        <f t="shared" si="18"/>
        <v>0</v>
      </c>
      <c r="P61" s="38">
        <f t="shared" si="18"/>
        <v>0</v>
      </c>
      <c r="Q61" s="38">
        <f t="shared" si="18"/>
        <v>0</v>
      </c>
      <c r="R61" s="38">
        <f t="shared" si="18"/>
        <v>0</v>
      </c>
      <c r="S61" s="38">
        <f t="shared" si="18"/>
        <v>0</v>
      </c>
      <c r="T61" s="38">
        <f t="shared" si="18"/>
        <v>0</v>
      </c>
      <c r="U61" s="38">
        <f t="shared" si="18"/>
        <v>0</v>
      </c>
      <c r="V61" s="38">
        <f t="shared" si="18"/>
        <v>0</v>
      </c>
      <c r="W61" s="38">
        <f t="shared" si="19"/>
        <v>0</v>
      </c>
      <c r="X61" s="38">
        <f t="shared" si="19"/>
        <v>0</v>
      </c>
      <c r="Y61" s="38">
        <f t="shared" si="19"/>
        <v>0</v>
      </c>
      <c r="Z61" s="38">
        <f t="shared" si="19"/>
        <v>0</v>
      </c>
      <c r="AA61" s="38">
        <f t="shared" si="19"/>
        <v>0</v>
      </c>
      <c r="AB61" s="38">
        <f t="shared" si="19"/>
        <v>0</v>
      </c>
      <c r="AC61" s="39">
        <f t="shared" si="19"/>
        <v>0</v>
      </c>
      <c r="AD61" s="38">
        <f t="shared" si="19"/>
        <v>3</v>
      </c>
      <c r="AE61" s="38">
        <f t="shared" si="19"/>
        <v>3</v>
      </c>
      <c r="AF61" s="38">
        <f t="shared" si="19"/>
        <v>0</v>
      </c>
      <c r="AG61" s="38">
        <f t="shared" si="20"/>
        <v>0</v>
      </c>
      <c r="AH61" s="38">
        <f t="shared" si="20"/>
        <v>0</v>
      </c>
      <c r="AI61" s="38">
        <f t="shared" si="20"/>
        <v>0</v>
      </c>
      <c r="AJ61" s="38">
        <f t="shared" si="20"/>
        <v>0</v>
      </c>
      <c r="AK61" s="38">
        <f t="shared" si="20"/>
        <v>0</v>
      </c>
      <c r="AL61" s="38">
        <f t="shared" si="20"/>
        <v>0</v>
      </c>
      <c r="AM61" s="38">
        <f t="shared" si="20"/>
        <v>0</v>
      </c>
      <c r="AN61" s="38">
        <f t="shared" si="20"/>
        <v>0</v>
      </c>
      <c r="AO61" s="38">
        <f t="shared" si="20"/>
        <v>0</v>
      </c>
      <c r="AP61" s="38">
        <f t="shared" si="20"/>
        <v>0</v>
      </c>
      <c r="AQ61" s="38">
        <f t="shared" si="20"/>
        <v>0</v>
      </c>
      <c r="AR61" s="38">
        <f t="shared" si="20"/>
        <v>0</v>
      </c>
      <c r="AS61" s="38">
        <f t="shared" si="20"/>
        <v>0</v>
      </c>
      <c r="AT61" s="38">
        <f t="shared" si="20"/>
        <v>0</v>
      </c>
      <c r="AU61" s="38">
        <f t="shared" si="20"/>
        <v>0</v>
      </c>
    </row>
    <row r="62" spans="1:47" ht="15" customHeight="1" x14ac:dyDescent="0.4">
      <c r="A62" s="36">
        <v>49</v>
      </c>
      <c r="B62" s="36" t="s">
        <v>109</v>
      </c>
      <c r="C62" s="36" t="s">
        <v>33</v>
      </c>
      <c r="D62" s="37" t="s">
        <v>54</v>
      </c>
      <c r="E62" s="36" t="s">
        <v>118</v>
      </c>
      <c r="F62" s="36">
        <v>6</v>
      </c>
      <c r="G62" s="36">
        <f>DATA!K50</f>
        <v>6</v>
      </c>
      <c r="H62" s="36">
        <f>DATA!L50</f>
        <v>12</v>
      </c>
      <c r="I62" s="36">
        <f>DATA!O50</f>
        <v>6</v>
      </c>
      <c r="J62" s="36">
        <f>DATA!P50</f>
        <v>12</v>
      </c>
      <c r="K62" s="48">
        <f>DATA!N50</f>
        <v>0</v>
      </c>
      <c r="L62" s="49">
        <v>4</v>
      </c>
      <c r="M62" s="38">
        <f t="shared" si="18"/>
        <v>0</v>
      </c>
      <c r="N62" s="38">
        <f t="shared" si="18"/>
        <v>0</v>
      </c>
      <c r="O62" s="38">
        <f t="shared" si="18"/>
        <v>0</v>
      </c>
      <c r="P62" s="38">
        <f t="shared" si="18"/>
        <v>0</v>
      </c>
      <c r="Q62" s="38">
        <f t="shared" si="18"/>
        <v>0</v>
      </c>
      <c r="R62" s="38">
        <f t="shared" si="18"/>
        <v>0</v>
      </c>
      <c r="S62" s="38">
        <f t="shared" si="18"/>
        <v>0</v>
      </c>
      <c r="T62" s="38">
        <f t="shared" si="18"/>
        <v>0</v>
      </c>
      <c r="U62" s="38">
        <f t="shared" si="18"/>
        <v>0</v>
      </c>
      <c r="V62" s="38">
        <f t="shared" si="18"/>
        <v>0</v>
      </c>
      <c r="W62" s="38">
        <f t="shared" si="19"/>
        <v>0</v>
      </c>
      <c r="X62" s="38">
        <f t="shared" si="19"/>
        <v>0</v>
      </c>
      <c r="Y62" s="38">
        <f t="shared" si="19"/>
        <v>0</v>
      </c>
      <c r="Z62" s="38">
        <f t="shared" si="19"/>
        <v>0</v>
      </c>
      <c r="AA62" s="38">
        <f t="shared" si="19"/>
        <v>0</v>
      </c>
      <c r="AB62" s="38">
        <f t="shared" si="19"/>
        <v>0</v>
      </c>
      <c r="AC62" s="39">
        <f t="shared" si="19"/>
        <v>0</v>
      </c>
      <c r="AD62" s="38">
        <f t="shared" si="19"/>
        <v>0</v>
      </c>
      <c r="AE62" s="38">
        <f t="shared" si="19"/>
        <v>0</v>
      </c>
      <c r="AF62" s="38">
        <f t="shared" si="19"/>
        <v>4</v>
      </c>
      <c r="AG62" s="38">
        <f t="shared" si="20"/>
        <v>4</v>
      </c>
      <c r="AH62" s="38">
        <f t="shared" si="20"/>
        <v>4</v>
      </c>
      <c r="AI62" s="38">
        <f t="shared" si="20"/>
        <v>0</v>
      </c>
      <c r="AJ62" s="38">
        <f t="shared" si="20"/>
        <v>0</v>
      </c>
      <c r="AK62" s="38">
        <f t="shared" si="20"/>
        <v>0</v>
      </c>
      <c r="AL62" s="38">
        <f t="shared" si="20"/>
        <v>0</v>
      </c>
      <c r="AM62" s="38">
        <f t="shared" si="20"/>
        <v>0</v>
      </c>
      <c r="AN62" s="38">
        <f t="shared" si="20"/>
        <v>0</v>
      </c>
      <c r="AO62" s="38">
        <f t="shared" si="20"/>
        <v>0</v>
      </c>
      <c r="AP62" s="38">
        <f t="shared" si="20"/>
        <v>0</v>
      </c>
      <c r="AQ62" s="38">
        <f t="shared" si="20"/>
        <v>0</v>
      </c>
      <c r="AR62" s="38">
        <f t="shared" si="20"/>
        <v>0</v>
      </c>
      <c r="AS62" s="38">
        <f t="shared" si="20"/>
        <v>0</v>
      </c>
      <c r="AT62" s="38">
        <f t="shared" si="20"/>
        <v>0</v>
      </c>
      <c r="AU62" s="38">
        <f t="shared" si="20"/>
        <v>0</v>
      </c>
    </row>
    <row r="63" spans="1:47" ht="15" customHeight="1" x14ac:dyDescent="0.4">
      <c r="A63" s="36">
        <v>50</v>
      </c>
      <c r="B63" s="36" t="s">
        <v>109</v>
      </c>
      <c r="C63" s="36" t="s">
        <v>33</v>
      </c>
      <c r="D63" s="37" t="s">
        <v>119</v>
      </c>
      <c r="E63" s="36" t="s">
        <v>118</v>
      </c>
      <c r="F63" s="36">
        <v>2</v>
      </c>
      <c r="G63" s="36">
        <f>DATA!K51</f>
        <v>12</v>
      </c>
      <c r="H63" s="36">
        <f>DATA!L51</f>
        <v>14</v>
      </c>
      <c r="I63" s="36">
        <f>DATA!O51</f>
        <v>12</v>
      </c>
      <c r="J63" s="36">
        <f>DATA!P51</f>
        <v>14</v>
      </c>
      <c r="K63" s="48">
        <f>DATA!N51</f>
        <v>0</v>
      </c>
      <c r="L63" s="49">
        <v>5</v>
      </c>
      <c r="M63" s="38">
        <f t="shared" si="18"/>
        <v>0</v>
      </c>
      <c r="N63" s="38">
        <f t="shared" si="18"/>
        <v>0</v>
      </c>
      <c r="O63" s="38">
        <f t="shared" si="18"/>
        <v>0</v>
      </c>
      <c r="P63" s="38">
        <f t="shared" si="18"/>
        <v>0</v>
      </c>
      <c r="Q63" s="38">
        <f t="shared" si="18"/>
        <v>0</v>
      </c>
      <c r="R63" s="38">
        <f t="shared" si="18"/>
        <v>0</v>
      </c>
      <c r="S63" s="38">
        <f t="shared" si="18"/>
        <v>0</v>
      </c>
      <c r="T63" s="38">
        <f t="shared" si="18"/>
        <v>0</v>
      </c>
      <c r="U63" s="38">
        <f t="shared" si="18"/>
        <v>0</v>
      </c>
      <c r="V63" s="38">
        <f t="shared" si="18"/>
        <v>0</v>
      </c>
      <c r="W63" s="38">
        <f t="shared" si="19"/>
        <v>0</v>
      </c>
      <c r="X63" s="38">
        <f t="shared" si="19"/>
        <v>0</v>
      </c>
      <c r="Y63" s="38">
        <f t="shared" si="19"/>
        <v>0</v>
      </c>
      <c r="Z63" s="38">
        <f t="shared" si="19"/>
        <v>0</v>
      </c>
      <c r="AA63" s="38">
        <f t="shared" si="19"/>
        <v>0</v>
      </c>
      <c r="AB63" s="38">
        <f t="shared" si="19"/>
        <v>0</v>
      </c>
      <c r="AC63" s="39">
        <f t="shared" si="19"/>
        <v>0</v>
      </c>
      <c r="AD63" s="38">
        <f t="shared" si="19"/>
        <v>0</v>
      </c>
      <c r="AE63" s="38">
        <f t="shared" si="19"/>
        <v>0</v>
      </c>
      <c r="AF63" s="38">
        <f t="shared" si="19"/>
        <v>0</v>
      </c>
      <c r="AG63" s="38">
        <f t="shared" si="20"/>
        <v>0</v>
      </c>
      <c r="AH63" s="38">
        <f t="shared" si="20"/>
        <v>0</v>
      </c>
      <c r="AI63" s="38">
        <f t="shared" si="20"/>
        <v>5</v>
      </c>
      <c r="AJ63" s="38">
        <f t="shared" si="20"/>
        <v>0</v>
      </c>
      <c r="AK63" s="38">
        <f t="shared" si="20"/>
        <v>0</v>
      </c>
      <c r="AL63" s="38">
        <f t="shared" si="20"/>
        <v>0</v>
      </c>
      <c r="AM63" s="38">
        <f t="shared" si="20"/>
        <v>0</v>
      </c>
      <c r="AN63" s="38">
        <f t="shared" si="20"/>
        <v>0</v>
      </c>
      <c r="AO63" s="38">
        <f t="shared" si="20"/>
        <v>0</v>
      </c>
      <c r="AP63" s="38">
        <f t="shared" si="20"/>
        <v>0</v>
      </c>
      <c r="AQ63" s="38">
        <f t="shared" si="20"/>
        <v>0</v>
      </c>
      <c r="AR63" s="38">
        <f t="shared" si="20"/>
        <v>0</v>
      </c>
      <c r="AS63" s="38">
        <f t="shared" si="20"/>
        <v>0</v>
      </c>
      <c r="AT63" s="38">
        <f t="shared" si="20"/>
        <v>0</v>
      </c>
      <c r="AU63" s="38">
        <f t="shared" si="20"/>
        <v>0</v>
      </c>
    </row>
    <row r="64" spans="1:47" ht="15" customHeight="1" x14ac:dyDescent="0.4">
      <c r="A64" s="36">
        <v>51</v>
      </c>
      <c r="B64" s="36" t="s">
        <v>109</v>
      </c>
      <c r="C64" s="36" t="s">
        <v>33</v>
      </c>
      <c r="D64" s="37" t="s">
        <v>125</v>
      </c>
      <c r="E64" s="36" t="s">
        <v>118</v>
      </c>
      <c r="F64" s="36">
        <v>2</v>
      </c>
      <c r="G64" s="36">
        <f>DATA!K52</f>
        <v>14</v>
      </c>
      <c r="H64" s="36">
        <f>DATA!L52</f>
        <v>16</v>
      </c>
      <c r="I64" s="36">
        <f>DATA!O52</f>
        <v>14</v>
      </c>
      <c r="J64" s="36">
        <f>DATA!P52</f>
        <v>16</v>
      </c>
      <c r="K64" s="48">
        <f>DATA!N52</f>
        <v>0</v>
      </c>
      <c r="L64" s="49">
        <v>6</v>
      </c>
      <c r="M64" s="38">
        <f t="shared" si="18"/>
        <v>0</v>
      </c>
      <c r="N64" s="38">
        <f t="shared" si="18"/>
        <v>0</v>
      </c>
      <c r="O64" s="38">
        <f t="shared" si="18"/>
        <v>0</v>
      </c>
      <c r="P64" s="38">
        <f t="shared" si="18"/>
        <v>0</v>
      </c>
      <c r="Q64" s="38">
        <f t="shared" si="18"/>
        <v>0</v>
      </c>
      <c r="R64" s="38">
        <f t="shared" si="18"/>
        <v>0</v>
      </c>
      <c r="S64" s="38">
        <f t="shared" si="18"/>
        <v>0</v>
      </c>
      <c r="T64" s="38">
        <f t="shared" si="18"/>
        <v>0</v>
      </c>
      <c r="U64" s="38">
        <f t="shared" si="18"/>
        <v>0</v>
      </c>
      <c r="V64" s="38">
        <f t="shared" si="18"/>
        <v>0</v>
      </c>
      <c r="W64" s="38">
        <f t="shared" si="19"/>
        <v>0</v>
      </c>
      <c r="X64" s="38">
        <f t="shared" si="19"/>
        <v>0</v>
      </c>
      <c r="Y64" s="38">
        <f t="shared" si="19"/>
        <v>0</v>
      </c>
      <c r="Z64" s="38">
        <f t="shared" si="19"/>
        <v>0</v>
      </c>
      <c r="AA64" s="38">
        <f t="shared" si="19"/>
        <v>0</v>
      </c>
      <c r="AB64" s="38">
        <f t="shared" si="19"/>
        <v>0</v>
      </c>
      <c r="AC64" s="39">
        <f t="shared" si="19"/>
        <v>0</v>
      </c>
      <c r="AD64" s="38">
        <f t="shared" si="19"/>
        <v>0</v>
      </c>
      <c r="AE64" s="38">
        <f t="shared" si="19"/>
        <v>0</v>
      </c>
      <c r="AF64" s="38">
        <f t="shared" si="19"/>
        <v>0</v>
      </c>
      <c r="AG64" s="38">
        <f t="shared" si="20"/>
        <v>0</v>
      </c>
      <c r="AH64" s="38">
        <f t="shared" si="20"/>
        <v>0</v>
      </c>
      <c r="AI64" s="38">
        <f t="shared" si="20"/>
        <v>0</v>
      </c>
      <c r="AJ64" s="38">
        <f t="shared" si="20"/>
        <v>6</v>
      </c>
      <c r="AK64" s="38">
        <f t="shared" si="20"/>
        <v>0</v>
      </c>
      <c r="AL64" s="38">
        <f t="shared" si="20"/>
        <v>0</v>
      </c>
      <c r="AM64" s="38">
        <f t="shared" si="20"/>
        <v>0</v>
      </c>
      <c r="AN64" s="38">
        <f t="shared" si="20"/>
        <v>0</v>
      </c>
      <c r="AO64" s="38">
        <f t="shared" si="20"/>
        <v>0</v>
      </c>
      <c r="AP64" s="38">
        <f t="shared" si="20"/>
        <v>0</v>
      </c>
      <c r="AQ64" s="38">
        <f t="shared" si="20"/>
        <v>0</v>
      </c>
      <c r="AR64" s="38">
        <f t="shared" si="20"/>
        <v>0</v>
      </c>
      <c r="AS64" s="38">
        <f t="shared" si="20"/>
        <v>0</v>
      </c>
      <c r="AT64" s="38">
        <f t="shared" si="20"/>
        <v>0</v>
      </c>
      <c r="AU64" s="38">
        <f t="shared" si="20"/>
        <v>0</v>
      </c>
    </row>
    <row r="65" spans="1:47" ht="15" customHeight="1" x14ac:dyDescent="0.4">
      <c r="A65" s="36">
        <v>52</v>
      </c>
      <c r="B65" s="36" t="s">
        <v>109</v>
      </c>
      <c r="C65" s="36" t="s">
        <v>33</v>
      </c>
      <c r="D65" s="37" t="s">
        <v>57</v>
      </c>
      <c r="E65" s="36" t="s">
        <v>118</v>
      </c>
      <c r="F65" s="36">
        <v>2</v>
      </c>
      <c r="G65" s="36">
        <f>DATA!K53</f>
        <v>16</v>
      </c>
      <c r="H65" s="36">
        <f>DATA!L53</f>
        <v>18</v>
      </c>
      <c r="I65" s="36">
        <f>DATA!O53</f>
        <v>16</v>
      </c>
      <c r="J65" s="36">
        <f>DATA!P53</f>
        <v>18</v>
      </c>
      <c r="K65" s="48">
        <f>DATA!N53</f>
        <v>0</v>
      </c>
      <c r="L65" s="49">
        <v>7</v>
      </c>
      <c r="M65" s="38">
        <f t="shared" si="18"/>
        <v>0</v>
      </c>
      <c r="N65" s="38">
        <f t="shared" si="18"/>
        <v>0</v>
      </c>
      <c r="O65" s="38">
        <f t="shared" si="18"/>
        <v>0</v>
      </c>
      <c r="P65" s="38">
        <f t="shared" si="18"/>
        <v>0</v>
      </c>
      <c r="Q65" s="38">
        <f t="shared" si="18"/>
        <v>0</v>
      </c>
      <c r="R65" s="38">
        <f t="shared" si="18"/>
        <v>0</v>
      </c>
      <c r="S65" s="38">
        <f t="shared" si="18"/>
        <v>0</v>
      </c>
      <c r="T65" s="38">
        <f t="shared" si="18"/>
        <v>0</v>
      </c>
      <c r="U65" s="38">
        <f t="shared" si="18"/>
        <v>0</v>
      </c>
      <c r="V65" s="38">
        <f t="shared" si="18"/>
        <v>0</v>
      </c>
      <c r="W65" s="38">
        <f t="shared" si="19"/>
        <v>0</v>
      </c>
      <c r="X65" s="38">
        <f t="shared" si="19"/>
        <v>0</v>
      </c>
      <c r="Y65" s="38">
        <f t="shared" si="19"/>
        <v>0</v>
      </c>
      <c r="Z65" s="38">
        <f t="shared" si="19"/>
        <v>0</v>
      </c>
      <c r="AA65" s="38">
        <f t="shared" si="19"/>
        <v>0</v>
      </c>
      <c r="AB65" s="38">
        <f t="shared" si="19"/>
        <v>0</v>
      </c>
      <c r="AC65" s="39">
        <f t="shared" si="19"/>
        <v>0</v>
      </c>
      <c r="AD65" s="38">
        <f t="shared" si="19"/>
        <v>0</v>
      </c>
      <c r="AE65" s="38">
        <f t="shared" si="19"/>
        <v>0</v>
      </c>
      <c r="AF65" s="38">
        <f t="shared" si="19"/>
        <v>0</v>
      </c>
      <c r="AG65" s="38">
        <f t="shared" si="20"/>
        <v>0</v>
      </c>
      <c r="AH65" s="38">
        <f t="shared" si="20"/>
        <v>0</v>
      </c>
      <c r="AI65" s="38">
        <f t="shared" si="20"/>
        <v>0</v>
      </c>
      <c r="AJ65" s="38">
        <f t="shared" si="20"/>
        <v>0</v>
      </c>
      <c r="AK65" s="38">
        <f t="shared" si="20"/>
        <v>7</v>
      </c>
      <c r="AL65" s="38">
        <f t="shared" si="20"/>
        <v>0</v>
      </c>
      <c r="AM65" s="38">
        <f t="shared" si="20"/>
        <v>0</v>
      </c>
      <c r="AN65" s="38">
        <f t="shared" si="20"/>
        <v>0</v>
      </c>
      <c r="AO65" s="38">
        <f t="shared" si="20"/>
        <v>0</v>
      </c>
      <c r="AP65" s="38">
        <f t="shared" si="20"/>
        <v>0</v>
      </c>
      <c r="AQ65" s="38">
        <f t="shared" si="20"/>
        <v>0</v>
      </c>
      <c r="AR65" s="38">
        <f t="shared" si="20"/>
        <v>0</v>
      </c>
      <c r="AS65" s="38">
        <f t="shared" si="20"/>
        <v>0</v>
      </c>
      <c r="AT65" s="38">
        <f t="shared" si="20"/>
        <v>0</v>
      </c>
      <c r="AU65" s="38">
        <f t="shared" si="20"/>
        <v>0</v>
      </c>
    </row>
    <row r="66" spans="1:47" ht="16.05" customHeight="1" x14ac:dyDescent="0.4">
      <c r="A66" s="62" t="s">
        <v>198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</row>
    <row r="67" spans="1:47" ht="15" customHeight="1" x14ac:dyDescent="0.4">
      <c r="A67" s="42">
        <v>53</v>
      </c>
      <c r="B67" s="42" t="s">
        <v>109</v>
      </c>
      <c r="C67" s="42" t="s">
        <v>36</v>
      </c>
      <c r="D67" s="43" t="s">
        <v>111</v>
      </c>
      <c r="E67" s="42" t="s">
        <v>113</v>
      </c>
      <c r="F67" s="42">
        <v>6</v>
      </c>
      <c r="G67" s="42">
        <f>DATA!K54</f>
        <v>-10</v>
      </c>
      <c r="H67" s="42">
        <f>DATA!L54</f>
        <v>-4</v>
      </c>
      <c r="I67" s="42">
        <f>DATA!O54</f>
        <v>-10</v>
      </c>
      <c r="J67" s="42">
        <f>DATA!P54</f>
        <v>-4</v>
      </c>
      <c r="K67" s="44">
        <f>DATA!N54</f>
        <v>0</v>
      </c>
      <c r="L67" s="45">
        <v>1</v>
      </c>
      <c r="M67" s="46">
        <f t="shared" ref="M67:V73" si="21">IF(AND(M$5&gt;=$I67,M$5&lt;$J67),IF(AND(M$5&gt;=$G67,M$5&lt;$H67),$L67,$L67+100),IF(AND(M$5&gt;=$G67,M$5&lt;$H67),-1,0))</f>
        <v>0</v>
      </c>
      <c r="N67" s="46">
        <f t="shared" si="21"/>
        <v>0</v>
      </c>
      <c r="O67" s="46">
        <f t="shared" si="21"/>
        <v>0</v>
      </c>
      <c r="P67" s="46">
        <f t="shared" si="21"/>
        <v>0</v>
      </c>
      <c r="Q67" s="46">
        <f t="shared" si="21"/>
        <v>0</v>
      </c>
      <c r="R67" s="46">
        <f t="shared" si="21"/>
        <v>0</v>
      </c>
      <c r="S67" s="46">
        <f t="shared" si="21"/>
        <v>0</v>
      </c>
      <c r="T67" s="46">
        <f t="shared" si="21"/>
        <v>0</v>
      </c>
      <c r="U67" s="46">
        <f t="shared" si="21"/>
        <v>0</v>
      </c>
      <c r="V67" s="46">
        <f t="shared" si="21"/>
        <v>0</v>
      </c>
      <c r="W67" s="46">
        <f t="shared" ref="W67:AF73" si="22">IF(AND(W$5&gt;=$I67,W$5&lt;$J67),IF(AND(W$5&gt;=$G67,W$5&lt;$H67),$L67,$L67+100),IF(AND(W$5&gt;=$G67,W$5&lt;$H67),-1,0))</f>
        <v>0</v>
      </c>
      <c r="X67" s="46">
        <f t="shared" si="22"/>
        <v>1</v>
      </c>
      <c r="Y67" s="46">
        <f t="shared" si="22"/>
        <v>1</v>
      </c>
      <c r="Z67" s="46">
        <f t="shared" si="22"/>
        <v>1</v>
      </c>
      <c r="AA67" s="46">
        <f t="shared" si="22"/>
        <v>0</v>
      </c>
      <c r="AB67" s="46">
        <f t="shared" si="22"/>
        <v>0</v>
      </c>
      <c r="AC67" s="47">
        <f t="shared" si="22"/>
        <v>0</v>
      </c>
      <c r="AD67" s="46">
        <f t="shared" si="22"/>
        <v>0</v>
      </c>
      <c r="AE67" s="46">
        <f t="shared" si="22"/>
        <v>0</v>
      </c>
      <c r="AF67" s="46">
        <f t="shared" si="22"/>
        <v>0</v>
      </c>
      <c r="AG67" s="46">
        <f t="shared" ref="AG67:AU73" si="23">IF(AND(AG$5&gt;=$I67,AG$5&lt;$J67),IF(AND(AG$5&gt;=$G67,AG$5&lt;$H67),$L67,$L67+100),IF(AND(AG$5&gt;=$G67,AG$5&lt;$H67),-1,0))</f>
        <v>0</v>
      </c>
      <c r="AH67" s="46">
        <f t="shared" si="23"/>
        <v>0</v>
      </c>
      <c r="AI67" s="46">
        <f t="shared" si="23"/>
        <v>0</v>
      </c>
      <c r="AJ67" s="46">
        <f t="shared" si="23"/>
        <v>0</v>
      </c>
      <c r="AK67" s="46">
        <f t="shared" si="23"/>
        <v>0</v>
      </c>
      <c r="AL67" s="46">
        <f t="shared" si="23"/>
        <v>0</v>
      </c>
      <c r="AM67" s="46">
        <f t="shared" si="23"/>
        <v>0</v>
      </c>
      <c r="AN67" s="46">
        <f t="shared" si="23"/>
        <v>0</v>
      </c>
      <c r="AO67" s="46">
        <f t="shared" si="23"/>
        <v>0</v>
      </c>
      <c r="AP67" s="46">
        <f t="shared" si="23"/>
        <v>0</v>
      </c>
      <c r="AQ67" s="46">
        <f t="shared" si="23"/>
        <v>0</v>
      </c>
      <c r="AR67" s="46">
        <f t="shared" si="23"/>
        <v>0</v>
      </c>
      <c r="AS67" s="46">
        <f t="shared" si="23"/>
        <v>0</v>
      </c>
      <c r="AT67" s="46">
        <f t="shared" si="23"/>
        <v>0</v>
      </c>
      <c r="AU67" s="46">
        <f t="shared" si="23"/>
        <v>0</v>
      </c>
    </row>
    <row r="68" spans="1:47" ht="15" customHeight="1" x14ac:dyDescent="0.4">
      <c r="A68" s="42">
        <v>54</v>
      </c>
      <c r="B68" s="42" t="s">
        <v>109</v>
      </c>
      <c r="C68" s="42" t="s">
        <v>36</v>
      </c>
      <c r="D68" s="43" t="s">
        <v>52</v>
      </c>
      <c r="E68" s="42" t="s">
        <v>113</v>
      </c>
      <c r="F68" s="42">
        <v>6</v>
      </c>
      <c r="G68" s="42">
        <f>DATA!K55</f>
        <v>-2</v>
      </c>
      <c r="H68" s="42">
        <f>DATA!L55</f>
        <v>4</v>
      </c>
      <c r="I68" s="42">
        <f>DATA!O55</f>
        <v>-2</v>
      </c>
      <c r="J68" s="42">
        <f>DATA!P55</f>
        <v>4</v>
      </c>
      <c r="K68" s="44">
        <f>DATA!N55</f>
        <v>0</v>
      </c>
      <c r="L68" s="45">
        <v>2</v>
      </c>
      <c r="M68" s="46">
        <f t="shared" si="21"/>
        <v>0</v>
      </c>
      <c r="N68" s="46">
        <f t="shared" si="21"/>
        <v>0</v>
      </c>
      <c r="O68" s="46">
        <f t="shared" si="21"/>
        <v>0</v>
      </c>
      <c r="P68" s="46">
        <f t="shared" si="21"/>
        <v>0</v>
      </c>
      <c r="Q68" s="46">
        <f t="shared" si="21"/>
        <v>0</v>
      </c>
      <c r="R68" s="46">
        <f t="shared" si="21"/>
        <v>0</v>
      </c>
      <c r="S68" s="46">
        <f t="shared" si="21"/>
        <v>0</v>
      </c>
      <c r="T68" s="46">
        <f t="shared" si="21"/>
        <v>0</v>
      </c>
      <c r="U68" s="46">
        <f t="shared" si="21"/>
        <v>0</v>
      </c>
      <c r="V68" s="46">
        <f t="shared" si="21"/>
        <v>0</v>
      </c>
      <c r="W68" s="46">
        <f t="shared" si="22"/>
        <v>0</v>
      </c>
      <c r="X68" s="46">
        <f t="shared" si="22"/>
        <v>0</v>
      </c>
      <c r="Y68" s="46">
        <f t="shared" si="22"/>
        <v>0</v>
      </c>
      <c r="Z68" s="46">
        <f t="shared" si="22"/>
        <v>0</v>
      </c>
      <c r="AA68" s="46">
        <f t="shared" si="22"/>
        <v>0</v>
      </c>
      <c r="AB68" s="46">
        <f t="shared" si="22"/>
        <v>2</v>
      </c>
      <c r="AC68" s="47">
        <f t="shared" si="22"/>
        <v>2</v>
      </c>
      <c r="AD68" s="46">
        <f t="shared" si="22"/>
        <v>2</v>
      </c>
      <c r="AE68" s="46">
        <f t="shared" si="22"/>
        <v>0</v>
      </c>
      <c r="AF68" s="46">
        <f t="shared" si="22"/>
        <v>0</v>
      </c>
      <c r="AG68" s="46">
        <f t="shared" si="23"/>
        <v>0</v>
      </c>
      <c r="AH68" s="46">
        <f t="shared" si="23"/>
        <v>0</v>
      </c>
      <c r="AI68" s="46">
        <f t="shared" si="23"/>
        <v>0</v>
      </c>
      <c r="AJ68" s="46">
        <f t="shared" si="23"/>
        <v>0</v>
      </c>
      <c r="AK68" s="46">
        <f t="shared" si="23"/>
        <v>0</v>
      </c>
      <c r="AL68" s="46">
        <f t="shared" si="23"/>
        <v>0</v>
      </c>
      <c r="AM68" s="46">
        <f t="shared" si="23"/>
        <v>0</v>
      </c>
      <c r="AN68" s="46">
        <f t="shared" si="23"/>
        <v>0</v>
      </c>
      <c r="AO68" s="46">
        <f t="shared" si="23"/>
        <v>0</v>
      </c>
      <c r="AP68" s="46">
        <f t="shared" si="23"/>
        <v>0</v>
      </c>
      <c r="AQ68" s="46">
        <f t="shared" si="23"/>
        <v>0</v>
      </c>
      <c r="AR68" s="46">
        <f t="shared" si="23"/>
        <v>0</v>
      </c>
      <c r="AS68" s="46">
        <f t="shared" si="23"/>
        <v>0</v>
      </c>
      <c r="AT68" s="46">
        <f t="shared" si="23"/>
        <v>0</v>
      </c>
      <c r="AU68" s="46">
        <f t="shared" si="23"/>
        <v>0</v>
      </c>
    </row>
    <row r="69" spans="1:47" ht="15" customHeight="1" x14ac:dyDescent="0.4">
      <c r="A69" s="42">
        <v>55</v>
      </c>
      <c r="B69" s="42" t="s">
        <v>109</v>
      </c>
      <c r="C69" s="42" t="s">
        <v>36</v>
      </c>
      <c r="D69" s="43" t="s">
        <v>53</v>
      </c>
      <c r="E69" s="42" t="s">
        <v>113</v>
      </c>
      <c r="F69" s="42">
        <v>4</v>
      </c>
      <c r="G69" s="42">
        <f>DATA!K56</f>
        <v>2</v>
      </c>
      <c r="H69" s="42">
        <f>DATA!L56</f>
        <v>6</v>
      </c>
      <c r="I69" s="42">
        <f>DATA!O56</f>
        <v>2</v>
      </c>
      <c r="J69" s="42">
        <f>DATA!P56</f>
        <v>6</v>
      </c>
      <c r="K69" s="44">
        <f>DATA!N56</f>
        <v>0</v>
      </c>
      <c r="L69" s="45">
        <v>3</v>
      </c>
      <c r="M69" s="46">
        <f t="shared" si="21"/>
        <v>0</v>
      </c>
      <c r="N69" s="46">
        <f t="shared" si="21"/>
        <v>0</v>
      </c>
      <c r="O69" s="46">
        <f t="shared" si="21"/>
        <v>0</v>
      </c>
      <c r="P69" s="46">
        <f t="shared" si="21"/>
        <v>0</v>
      </c>
      <c r="Q69" s="46">
        <f t="shared" si="21"/>
        <v>0</v>
      </c>
      <c r="R69" s="46">
        <f t="shared" si="21"/>
        <v>0</v>
      </c>
      <c r="S69" s="46">
        <f t="shared" si="21"/>
        <v>0</v>
      </c>
      <c r="T69" s="46">
        <f t="shared" si="21"/>
        <v>0</v>
      </c>
      <c r="U69" s="46">
        <f t="shared" si="21"/>
        <v>0</v>
      </c>
      <c r="V69" s="46">
        <f t="shared" si="21"/>
        <v>0</v>
      </c>
      <c r="W69" s="46">
        <f t="shared" si="22"/>
        <v>0</v>
      </c>
      <c r="X69" s="46">
        <f t="shared" si="22"/>
        <v>0</v>
      </c>
      <c r="Y69" s="46">
        <f t="shared" si="22"/>
        <v>0</v>
      </c>
      <c r="Z69" s="46">
        <f t="shared" si="22"/>
        <v>0</v>
      </c>
      <c r="AA69" s="46">
        <f t="shared" si="22"/>
        <v>0</v>
      </c>
      <c r="AB69" s="46">
        <f t="shared" si="22"/>
        <v>0</v>
      </c>
      <c r="AC69" s="47">
        <f t="shared" si="22"/>
        <v>0</v>
      </c>
      <c r="AD69" s="46">
        <f t="shared" si="22"/>
        <v>3</v>
      </c>
      <c r="AE69" s="46">
        <f t="shared" si="22"/>
        <v>3</v>
      </c>
      <c r="AF69" s="46">
        <f t="shared" si="22"/>
        <v>0</v>
      </c>
      <c r="AG69" s="46">
        <f t="shared" si="23"/>
        <v>0</v>
      </c>
      <c r="AH69" s="46">
        <f t="shared" si="23"/>
        <v>0</v>
      </c>
      <c r="AI69" s="46">
        <f t="shared" si="23"/>
        <v>0</v>
      </c>
      <c r="AJ69" s="46">
        <f t="shared" si="23"/>
        <v>0</v>
      </c>
      <c r="AK69" s="46">
        <f t="shared" si="23"/>
        <v>0</v>
      </c>
      <c r="AL69" s="46">
        <f t="shared" si="23"/>
        <v>0</v>
      </c>
      <c r="AM69" s="46">
        <f t="shared" si="23"/>
        <v>0</v>
      </c>
      <c r="AN69" s="46">
        <f t="shared" si="23"/>
        <v>0</v>
      </c>
      <c r="AO69" s="46">
        <f t="shared" si="23"/>
        <v>0</v>
      </c>
      <c r="AP69" s="46">
        <f t="shared" si="23"/>
        <v>0</v>
      </c>
      <c r="AQ69" s="46">
        <f t="shared" si="23"/>
        <v>0</v>
      </c>
      <c r="AR69" s="46">
        <f t="shared" si="23"/>
        <v>0</v>
      </c>
      <c r="AS69" s="46">
        <f t="shared" si="23"/>
        <v>0</v>
      </c>
      <c r="AT69" s="46">
        <f t="shared" si="23"/>
        <v>0</v>
      </c>
      <c r="AU69" s="46">
        <f t="shared" si="23"/>
        <v>0</v>
      </c>
    </row>
    <row r="70" spans="1:47" ht="15" customHeight="1" x14ac:dyDescent="0.4">
      <c r="A70" s="42">
        <v>56</v>
      </c>
      <c r="B70" s="42" t="s">
        <v>109</v>
      </c>
      <c r="C70" s="42" t="s">
        <v>36</v>
      </c>
      <c r="D70" s="43" t="s">
        <v>54</v>
      </c>
      <c r="E70" s="42" t="s">
        <v>118</v>
      </c>
      <c r="F70" s="42">
        <v>6</v>
      </c>
      <c r="G70" s="42">
        <f>DATA!K57</f>
        <v>4</v>
      </c>
      <c r="H70" s="42">
        <f>DATA!L57</f>
        <v>10</v>
      </c>
      <c r="I70" s="42">
        <f>DATA!O57</f>
        <v>4</v>
      </c>
      <c r="J70" s="42">
        <f>DATA!P57</f>
        <v>10</v>
      </c>
      <c r="K70" s="44">
        <f>DATA!N57</f>
        <v>0</v>
      </c>
      <c r="L70" s="45">
        <v>4</v>
      </c>
      <c r="M70" s="46">
        <f t="shared" si="21"/>
        <v>0</v>
      </c>
      <c r="N70" s="46">
        <f t="shared" si="21"/>
        <v>0</v>
      </c>
      <c r="O70" s="46">
        <f t="shared" si="21"/>
        <v>0</v>
      </c>
      <c r="P70" s="46">
        <f t="shared" si="21"/>
        <v>0</v>
      </c>
      <c r="Q70" s="46">
        <f t="shared" si="21"/>
        <v>0</v>
      </c>
      <c r="R70" s="46">
        <f t="shared" si="21"/>
        <v>0</v>
      </c>
      <c r="S70" s="46">
        <f t="shared" si="21"/>
        <v>0</v>
      </c>
      <c r="T70" s="46">
        <f t="shared" si="21"/>
        <v>0</v>
      </c>
      <c r="U70" s="46">
        <f t="shared" si="21"/>
        <v>0</v>
      </c>
      <c r="V70" s="46">
        <f t="shared" si="21"/>
        <v>0</v>
      </c>
      <c r="W70" s="46">
        <f t="shared" si="22"/>
        <v>0</v>
      </c>
      <c r="X70" s="46">
        <f t="shared" si="22"/>
        <v>0</v>
      </c>
      <c r="Y70" s="46">
        <f t="shared" si="22"/>
        <v>0</v>
      </c>
      <c r="Z70" s="46">
        <f t="shared" si="22"/>
        <v>0</v>
      </c>
      <c r="AA70" s="46">
        <f t="shared" si="22"/>
        <v>0</v>
      </c>
      <c r="AB70" s="46">
        <f t="shared" si="22"/>
        <v>0</v>
      </c>
      <c r="AC70" s="47">
        <f t="shared" si="22"/>
        <v>0</v>
      </c>
      <c r="AD70" s="46">
        <f t="shared" si="22"/>
        <v>0</v>
      </c>
      <c r="AE70" s="46">
        <f t="shared" si="22"/>
        <v>4</v>
      </c>
      <c r="AF70" s="46">
        <f t="shared" si="22"/>
        <v>4</v>
      </c>
      <c r="AG70" s="46">
        <f t="shared" si="23"/>
        <v>4</v>
      </c>
      <c r="AH70" s="46">
        <f t="shared" si="23"/>
        <v>0</v>
      </c>
      <c r="AI70" s="46">
        <f t="shared" si="23"/>
        <v>0</v>
      </c>
      <c r="AJ70" s="46">
        <f t="shared" si="23"/>
        <v>0</v>
      </c>
      <c r="AK70" s="46">
        <f t="shared" si="23"/>
        <v>0</v>
      </c>
      <c r="AL70" s="46">
        <f t="shared" si="23"/>
        <v>0</v>
      </c>
      <c r="AM70" s="46">
        <f t="shared" si="23"/>
        <v>0</v>
      </c>
      <c r="AN70" s="46">
        <f t="shared" si="23"/>
        <v>0</v>
      </c>
      <c r="AO70" s="46">
        <f t="shared" si="23"/>
        <v>0</v>
      </c>
      <c r="AP70" s="46">
        <f t="shared" si="23"/>
        <v>0</v>
      </c>
      <c r="AQ70" s="46">
        <f t="shared" si="23"/>
        <v>0</v>
      </c>
      <c r="AR70" s="46">
        <f t="shared" si="23"/>
        <v>0</v>
      </c>
      <c r="AS70" s="46">
        <f t="shared" si="23"/>
        <v>0</v>
      </c>
      <c r="AT70" s="46">
        <f t="shared" si="23"/>
        <v>0</v>
      </c>
      <c r="AU70" s="46">
        <f t="shared" si="23"/>
        <v>0</v>
      </c>
    </row>
    <row r="71" spans="1:47" ht="15" customHeight="1" x14ac:dyDescent="0.4">
      <c r="A71" s="42">
        <v>57</v>
      </c>
      <c r="B71" s="42" t="s">
        <v>109</v>
      </c>
      <c r="C71" s="42" t="s">
        <v>36</v>
      </c>
      <c r="D71" s="43" t="s">
        <v>119</v>
      </c>
      <c r="E71" s="42" t="s">
        <v>118</v>
      </c>
      <c r="F71" s="42">
        <v>2</v>
      </c>
      <c r="G71" s="42">
        <f>DATA!K58</f>
        <v>10</v>
      </c>
      <c r="H71" s="42">
        <f>DATA!L58</f>
        <v>12</v>
      </c>
      <c r="I71" s="42">
        <f>DATA!O58</f>
        <v>10</v>
      </c>
      <c r="J71" s="42">
        <f>DATA!P58</f>
        <v>12</v>
      </c>
      <c r="K71" s="44">
        <f>DATA!N58</f>
        <v>0</v>
      </c>
      <c r="L71" s="45">
        <v>5</v>
      </c>
      <c r="M71" s="46">
        <f t="shared" si="21"/>
        <v>0</v>
      </c>
      <c r="N71" s="46">
        <f t="shared" si="21"/>
        <v>0</v>
      </c>
      <c r="O71" s="46">
        <f t="shared" si="21"/>
        <v>0</v>
      </c>
      <c r="P71" s="46">
        <f t="shared" si="21"/>
        <v>0</v>
      </c>
      <c r="Q71" s="46">
        <f t="shared" si="21"/>
        <v>0</v>
      </c>
      <c r="R71" s="46">
        <f t="shared" si="21"/>
        <v>0</v>
      </c>
      <c r="S71" s="46">
        <f t="shared" si="21"/>
        <v>0</v>
      </c>
      <c r="T71" s="46">
        <f t="shared" si="21"/>
        <v>0</v>
      </c>
      <c r="U71" s="46">
        <f t="shared" si="21"/>
        <v>0</v>
      </c>
      <c r="V71" s="46">
        <f t="shared" si="21"/>
        <v>0</v>
      </c>
      <c r="W71" s="46">
        <f t="shared" si="22"/>
        <v>0</v>
      </c>
      <c r="X71" s="46">
        <f t="shared" si="22"/>
        <v>0</v>
      </c>
      <c r="Y71" s="46">
        <f t="shared" si="22"/>
        <v>0</v>
      </c>
      <c r="Z71" s="46">
        <f t="shared" si="22"/>
        <v>0</v>
      </c>
      <c r="AA71" s="46">
        <f t="shared" si="22"/>
        <v>0</v>
      </c>
      <c r="AB71" s="46">
        <f t="shared" si="22"/>
        <v>0</v>
      </c>
      <c r="AC71" s="47">
        <f t="shared" si="22"/>
        <v>0</v>
      </c>
      <c r="AD71" s="46">
        <f t="shared" si="22"/>
        <v>0</v>
      </c>
      <c r="AE71" s="46">
        <f t="shared" si="22"/>
        <v>0</v>
      </c>
      <c r="AF71" s="46">
        <f t="shared" si="22"/>
        <v>0</v>
      </c>
      <c r="AG71" s="46">
        <f t="shared" si="23"/>
        <v>0</v>
      </c>
      <c r="AH71" s="46">
        <f t="shared" si="23"/>
        <v>5</v>
      </c>
      <c r="AI71" s="46">
        <f t="shared" si="23"/>
        <v>0</v>
      </c>
      <c r="AJ71" s="46">
        <f t="shared" si="23"/>
        <v>0</v>
      </c>
      <c r="AK71" s="46">
        <f t="shared" si="23"/>
        <v>0</v>
      </c>
      <c r="AL71" s="46">
        <f t="shared" si="23"/>
        <v>0</v>
      </c>
      <c r="AM71" s="46">
        <f t="shared" si="23"/>
        <v>0</v>
      </c>
      <c r="AN71" s="46">
        <f t="shared" si="23"/>
        <v>0</v>
      </c>
      <c r="AO71" s="46">
        <f t="shared" si="23"/>
        <v>0</v>
      </c>
      <c r="AP71" s="46">
        <f t="shared" si="23"/>
        <v>0</v>
      </c>
      <c r="AQ71" s="46">
        <f t="shared" si="23"/>
        <v>0</v>
      </c>
      <c r="AR71" s="46">
        <f t="shared" si="23"/>
        <v>0</v>
      </c>
      <c r="AS71" s="46">
        <f t="shared" si="23"/>
        <v>0</v>
      </c>
      <c r="AT71" s="46">
        <f t="shared" si="23"/>
        <v>0</v>
      </c>
      <c r="AU71" s="46">
        <f t="shared" si="23"/>
        <v>0</v>
      </c>
    </row>
    <row r="72" spans="1:47" ht="15" customHeight="1" x14ac:dyDescent="0.4">
      <c r="A72" s="42">
        <v>58</v>
      </c>
      <c r="B72" s="42" t="s">
        <v>109</v>
      </c>
      <c r="C72" s="42" t="s">
        <v>36</v>
      </c>
      <c r="D72" s="43" t="s">
        <v>135</v>
      </c>
      <c r="E72" s="42" t="s">
        <v>118</v>
      </c>
      <c r="F72" s="42">
        <v>2</v>
      </c>
      <c r="G72" s="42">
        <f>DATA!K59</f>
        <v>12</v>
      </c>
      <c r="H72" s="42">
        <f>DATA!L59</f>
        <v>14</v>
      </c>
      <c r="I72" s="42">
        <f>DATA!O59</f>
        <v>12</v>
      </c>
      <c r="J72" s="42">
        <f>DATA!P59</f>
        <v>14</v>
      </c>
      <c r="K72" s="44">
        <f>DATA!N59</f>
        <v>0</v>
      </c>
      <c r="L72" s="45">
        <v>6</v>
      </c>
      <c r="M72" s="46">
        <f t="shared" si="21"/>
        <v>0</v>
      </c>
      <c r="N72" s="46">
        <f t="shared" si="21"/>
        <v>0</v>
      </c>
      <c r="O72" s="46">
        <f t="shared" si="21"/>
        <v>0</v>
      </c>
      <c r="P72" s="46">
        <f t="shared" si="21"/>
        <v>0</v>
      </c>
      <c r="Q72" s="46">
        <f t="shared" si="21"/>
        <v>0</v>
      </c>
      <c r="R72" s="46">
        <f t="shared" si="21"/>
        <v>0</v>
      </c>
      <c r="S72" s="46">
        <f t="shared" si="21"/>
        <v>0</v>
      </c>
      <c r="T72" s="46">
        <f t="shared" si="21"/>
        <v>0</v>
      </c>
      <c r="U72" s="46">
        <f t="shared" si="21"/>
        <v>0</v>
      </c>
      <c r="V72" s="46">
        <f t="shared" si="21"/>
        <v>0</v>
      </c>
      <c r="W72" s="46">
        <f t="shared" si="22"/>
        <v>0</v>
      </c>
      <c r="X72" s="46">
        <f t="shared" si="22"/>
        <v>0</v>
      </c>
      <c r="Y72" s="46">
        <f t="shared" si="22"/>
        <v>0</v>
      </c>
      <c r="Z72" s="46">
        <f t="shared" si="22"/>
        <v>0</v>
      </c>
      <c r="AA72" s="46">
        <f t="shared" si="22"/>
        <v>0</v>
      </c>
      <c r="AB72" s="46">
        <f t="shared" si="22"/>
        <v>0</v>
      </c>
      <c r="AC72" s="47">
        <f t="shared" si="22"/>
        <v>0</v>
      </c>
      <c r="AD72" s="46">
        <f t="shared" si="22"/>
        <v>0</v>
      </c>
      <c r="AE72" s="46">
        <f t="shared" si="22"/>
        <v>0</v>
      </c>
      <c r="AF72" s="46">
        <f t="shared" si="22"/>
        <v>0</v>
      </c>
      <c r="AG72" s="46">
        <f t="shared" si="23"/>
        <v>0</v>
      </c>
      <c r="AH72" s="46">
        <f t="shared" si="23"/>
        <v>0</v>
      </c>
      <c r="AI72" s="46">
        <f t="shared" si="23"/>
        <v>6</v>
      </c>
      <c r="AJ72" s="46">
        <f t="shared" si="23"/>
        <v>0</v>
      </c>
      <c r="AK72" s="46">
        <f t="shared" si="23"/>
        <v>0</v>
      </c>
      <c r="AL72" s="46">
        <f t="shared" si="23"/>
        <v>0</v>
      </c>
      <c r="AM72" s="46">
        <f t="shared" si="23"/>
        <v>0</v>
      </c>
      <c r="AN72" s="46">
        <f t="shared" si="23"/>
        <v>0</v>
      </c>
      <c r="AO72" s="46">
        <f t="shared" si="23"/>
        <v>0</v>
      </c>
      <c r="AP72" s="46">
        <f t="shared" si="23"/>
        <v>0</v>
      </c>
      <c r="AQ72" s="46">
        <f t="shared" si="23"/>
        <v>0</v>
      </c>
      <c r="AR72" s="46">
        <f t="shared" si="23"/>
        <v>0</v>
      </c>
      <c r="AS72" s="46">
        <f t="shared" si="23"/>
        <v>0</v>
      </c>
      <c r="AT72" s="46">
        <f t="shared" si="23"/>
        <v>0</v>
      </c>
      <c r="AU72" s="46">
        <f t="shared" si="23"/>
        <v>0</v>
      </c>
    </row>
    <row r="73" spans="1:47" ht="15" customHeight="1" x14ac:dyDescent="0.4">
      <c r="A73" s="42">
        <v>59</v>
      </c>
      <c r="B73" s="42" t="s">
        <v>109</v>
      </c>
      <c r="C73" s="42" t="s">
        <v>36</v>
      </c>
      <c r="D73" s="43" t="s">
        <v>57</v>
      </c>
      <c r="E73" s="42" t="s">
        <v>118</v>
      </c>
      <c r="F73" s="42">
        <v>2</v>
      </c>
      <c r="G73" s="42">
        <f>DATA!K60</f>
        <v>14</v>
      </c>
      <c r="H73" s="42">
        <f>DATA!L60</f>
        <v>16</v>
      </c>
      <c r="I73" s="42">
        <f>DATA!O60</f>
        <v>14</v>
      </c>
      <c r="J73" s="42">
        <f>DATA!P60</f>
        <v>16</v>
      </c>
      <c r="K73" s="44">
        <f>DATA!N60</f>
        <v>0</v>
      </c>
      <c r="L73" s="45">
        <v>7</v>
      </c>
      <c r="M73" s="46">
        <f t="shared" si="21"/>
        <v>0</v>
      </c>
      <c r="N73" s="46">
        <f t="shared" si="21"/>
        <v>0</v>
      </c>
      <c r="O73" s="46">
        <f t="shared" si="21"/>
        <v>0</v>
      </c>
      <c r="P73" s="46">
        <f t="shared" si="21"/>
        <v>0</v>
      </c>
      <c r="Q73" s="46">
        <f t="shared" si="21"/>
        <v>0</v>
      </c>
      <c r="R73" s="46">
        <f t="shared" si="21"/>
        <v>0</v>
      </c>
      <c r="S73" s="46">
        <f t="shared" si="21"/>
        <v>0</v>
      </c>
      <c r="T73" s="46">
        <f t="shared" si="21"/>
        <v>0</v>
      </c>
      <c r="U73" s="46">
        <f t="shared" si="21"/>
        <v>0</v>
      </c>
      <c r="V73" s="46">
        <f t="shared" si="21"/>
        <v>0</v>
      </c>
      <c r="W73" s="46">
        <f t="shared" si="22"/>
        <v>0</v>
      </c>
      <c r="X73" s="46">
        <f t="shared" si="22"/>
        <v>0</v>
      </c>
      <c r="Y73" s="46">
        <f t="shared" si="22"/>
        <v>0</v>
      </c>
      <c r="Z73" s="46">
        <f t="shared" si="22"/>
        <v>0</v>
      </c>
      <c r="AA73" s="46">
        <f t="shared" si="22"/>
        <v>0</v>
      </c>
      <c r="AB73" s="46">
        <f t="shared" si="22"/>
        <v>0</v>
      </c>
      <c r="AC73" s="47">
        <f t="shared" si="22"/>
        <v>0</v>
      </c>
      <c r="AD73" s="46">
        <f t="shared" si="22"/>
        <v>0</v>
      </c>
      <c r="AE73" s="46">
        <f t="shared" si="22"/>
        <v>0</v>
      </c>
      <c r="AF73" s="46">
        <f t="shared" si="22"/>
        <v>0</v>
      </c>
      <c r="AG73" s="46">
        <f t="shared" si="23"/>
        <v>0</v>
      </c>
      <c r="AH73" s="46">
        <f t="shared" si="23"/>
        <v>0</v>
      </c>
      <c r="AI73" s="46">
        <f t="shared" si="23"/>
        <v>0</v>
      </c>
      <c r="AJ73" s="46">
        <f t="shared" si="23"/>
        <v>7</v>
      </c>
      <c r="AK73" s="46">
        <f t="shared" si="23"/>
        <v>0</v>
      </c>
      <c r="AL73" s="46">
        <f t="shared" si="23"/>
        <v>0</v>
      </c>
      <c r="AM73" s="46">
        <f t="shared" si="23"/>
        <v>0</v>
      </c>
      <c r="AN73" s="46">
        <f t="shared" si="23"/>
        <v>0</v>
      </c>
      <c r="AO73" s="46">
        <f t="shared" si="23"/>
        <v>0</v>
      </c>
      <c r="AP73" s="46">
        <f t="shared" si="23"/>
        <v>0</v>
      </c>
      <c r="AQ73" s="46">
        <f t="shared" si="23"/>
        <v>0</v>
      </c>
      <c r="AR73" s="46">
        <f t="shared" si="23"/>
        <v>0</v>
      </c>
      <c r="AS73" s="46">
        <f t="shared" si="23"/>
        <v>0</v>
      </c>
      <c r="AT73" s="46">
        <f t="shared" si="23"/>
        <v>0</v>
      </c>
      <c r="AU73" s="46">
        <f t="shared" si="23"/>
        <v>0</v>
      </c>
    </row>
    <row r="74" spans="1:47" ht="16.05" customHeight="1" x14ac:dyDescent="0.4">
      <c r="A74" s="62" t="s">
        <v>199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8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</row>
    <row r="75" spans="1:47" ht="15" customHeight="1" x14ac:dyDescent="0.4">
      <c r="A75" s="36">
        <v>60</v>
      </c>
      <c r="B75" s="36" t="s">
        <v>109</v>
      </c>
      <c r="C75" s="36" t="s">
        <v>39</v>
      </c>
      <c r="D75" s="37" t="s">
        <v>111</v>
      </c>
      <c r="E75" s="36" t="s">
        <v>113</v>
      </c>
      <c r="F75" s="36">
        <v>6</v>
      </c>
      <c r="G75" s="36">
        <f>DATA!K61</f>
        <v>-10</v>
      </c>
      <c r="H75" s="36">
        <f>DATA!L61</f>
        <v>-4</v>
      </c>
      <c r="I75" s="36">
        <f>DATA!O61</f>
        <v>-10</v>
      </c>
      <c r="J75" s="36">
        <f>DATA!P61</f>
        <v>-4</v>
      </c>
      <c r="K75" s="48">
        <f>DATA!N61</f>
        <v>0</v>
      </c>
      <c r="L75" s="49">
        <v>1</v>
      </c>
      <c r="M75" s="38">
        <f t="shared" ref="M75:V81" si="24">IF(AND(M$5&gt;=$I75,M$5&lt;$J75),IF(AND(M$5&gt;=$G75,M$5&lt;$H75),$L75,$L75+100),IF(AND(M$5&gt;=$G75,M$5&lt;$H75),-1,0))</f>
        <v>0</v>
      </c>
      <c r="N75" s="38">
        <f t="shared" si="24"/>
        <v>0</v>
      </c>
      <c r="O75" s="38">
        <f t="shared" si="24"/>
        <v>0</v>
      </c>
      <c r="P75" s="38">
        <f t="shared" si="24"/>
        <v>0</v>
      </c>
      <c r="Q75" s="38">
        <f t="shared" si="24"/>
        <v>0</v>
      </c>
      <c r="R75" s="38">
        <f t="shared" si="24"/>
        <v>0</v>
      </c>
      <c r="S75" s="38">
        <f t="shared" si="24"/>
        <v>0</v>
      </c>
      <c r="T75" s="38">
        <f t="shared" si="24"/>
        <v>0</v>
      </c>
      <c r="U75" s="38">
        <f t="shared" si="24"/>
        <v>0</v>
      </c>
      <c r="V75" s="38">
        <f t="shared" si="24"/>
        <v>0</v>
      </c>
      <c r="W75" s="38">
        <f t="shared" ref="W75:AF81" si="25">IF(AND(W$5&gt;=$I75,W$5&lt;$J75),IF(AND(W$5&gt;=$G75,W$5&lt;$H75),$L75,$L75+100),IF(AND(W$5&gt;=$G75,W$5&lt;$H75),-1,0))</f>
        <v>0</v>
      </c>
      <c r="X75" s="38">
        <f t="shared" si="25"/>
        <v>1</v>
      </c>
      <c r="Y75" s="38">
        <f t="shared" si="25"/>
        <v>1</v>
      </c>
      <c r="Z75" s="38">
        <f t="shared" si="25"/>
        <v>1</v>
      </c>
      <c r="AA75" s="38">
        <f t="shared" si="25"/>
        <v>0</v>
      </c>
      <c r="AB75" s="38">
        <f t="shared" si="25"/>
        <v>0</v>
      </c>
      <c r="AC75" s="39">
        <f t="shared" si="25"/>
        <v>0</v>
      </c>
      <c r="AD75" s="38">
        <f t="shared" si="25"/>
        <v>0</v>
      </c>
      <c r="AE75" s="38">
        <f t="shared" si="25"/>
        <v>0</v>
      </c>
      <c r="AF75" s="38">
        <f t="shared" si="25"/>
        <v>0</v>
      </c>
      <c r="AG75" s="38">
        <f t="shared" ref="AG75:AU81" si="26">IF(AND(AG$5&gt;=$I75,AG$5&lt;$J75),IF(AND(AG$5&gt;=$G75,AG$5&lt;$H75),$L75,$L75+100),IF(AND(AG$5&gt;=$G75,AG$5&lt;$H75),-1,0))</f>
        <v>0</v>
      </c>
      <c r="AH75" s="38">
        <f t="shared" si="26"/>
        <v>0</v>
      </c>
      <c r="AI75" s="38">
        <f t="shared" si="26"/>
        <v>0</v>
      </c>
      <c r="AJ75" s="38">
        <f t="shared" si="26"/>
        <v>0</v>
      </c>
      <c r="AK75" s="38">
        <f t="shared" si="26"/>
        <v>0</v>
      </c>
      <c r="AL75" s="38">
        <f t="shared" si="26"/>
        <v>0</v>
      </c>
      <c r="AM75" s="38">
        <f t="shared" si="26"/>
        <v>0</v>
      </c>
      <c r="AN75" s="38">
        <f t="shared" si="26"/>
        <v>0</v>
      </c>
      <c r="AO75" s="38">
        <f t="shared" si="26"/>
        <v>0</v>
      </c>
      <c r="AP75" s="38">
        <f t="shared" si="26"/>
        <v>0</v>
      </c>
      <c r="AQ75" s="38">
        <f t="shared" si="26"/>
        <v>0</v>
      </c>
      <c r="AR75" s="38">
        <f t="shared" si="26"/>
        <v>0</v>
      </c>
      <c r="AS75" s="38">
        <f t="shared" si="26"/>
        <v>0</v>
      </c>
      <c r="AT75" s="38">
        <f t="shared" si="26"/>
        <v>0</v>
      </c>
      <c r="AU75" s="38">
        <f t="shared" si="26"/>
        <v>0</v>
      </c>
    </row>
    <row r="76" spans="1:47" ht="15" customHeight="1" x14ac:dyDescent="0.4">
      <c r="A76" s="36">
        <v>61</v>
      </c>
      <c r="B76" s="36" t="s">
        <v>109</v>
      </c>
      <c r="C76" s="36" t="s">
        <v>39</v>
      </c>
      <c r="D76" s="37" t="s">
        <v>52</v>
      </c>
      <c r="E76" s="36" t="s">
        <v>113</v>
      </c>
      <c r="F76" s="36">
        <v>4</v>
      </c>
      <c r="G76" s="36">
        <f>DATA!K62</f>
        <v>0</v>
      </c>
      <c r="H76" s="36">
        <f>DATA!L62</f>
        <v>4</v>
      </c>
      <c r="I76" s="36">
        <f>DATA!O62</f>
        <v>0</v>
      </c>
      <c r="J76" s="36">
        <f>DATA!P62</f>
        <v>4</v>
      </c>
      <c r="K76" s="48">
        <f>DATA!N62</f>
        <v>0</v>
      </c>
      <c r="L76" s="49">
        <v>2</v>
      </c>
      <c r="M76" s="38">
        <f t="shared" si="24"/>
        <v>0</v>
      </c>
      <c r="N76" s="38">
        <f t="shared" si="24"/>
        <v>0</v>
      </c>
      <c r="O76" s="38">
        <f t="shared" si="24"/>
        <v>0</v>
      </c>
      <c r="P76" s="38">
        <f t="shared" si="24"/>
        <v>0</v>
      </c>
      <c r="Q76" s="38">
        <f t="shared" si="24"/>
        <v>0</v>
      </c>
      <c r="R76" s="38">
        <f t="shared" si="24"/>
        <v>0</v>
      </c>
      <c r="S76" s="38">
        <f t="shared" si="24"/>
        <v>0</v>
      </c>
      <c r="T76" s="38">
        <f t="shared" si="24"/>
        <v>0</v>
      </c>
      <c r="U76" s="38">
        <f t="shared" si="24"/>
        <v>0</v>
      </c>
      <c r="V76" s="38">
        <f t="shared" si="24"/>
        <v>0</v>
      </c>
      <c r="W76" s="38">
        <f t="shared" si="25"/>
        <v>0</v>
      </c>
      <c r="X76" s="38">
        <f t="shared" si="25"/>
        <v>0</v>
      </c>
      <c r="Y76" s="38">
        <f t="shared" si="25"/>
        <v>0</v>
      </c>
      <c r="Z76" s="38">
        <f t="shared" si="25"/>
        <v>0</v>
      </c>
      <c r="AA76" s="38">
        <f t="shared" si="25"/>
        <v>0</v>
      </c>
      <c r="AB76" s="38">
        <f t="shared" si="25"/>
        <v>0</v>
      </c>
      <c r="AC76" s="39">
        <f t="shared" si="25"/>
        <v>2</v>
      </c>
      <c r="AD76" s="38">
        <f t="shared" si="25"/>
        <v>2</v>
      </c>
      <c r="AE76" s="38">
        <f t="shared" si="25"/>
        <v>0</v>
      </c>
      <c r="AF76" s="38">
        <f t="shared" si="25"/>
        <v>0</v>
      </c>
      <c r="AG76" s="38">
        <f t="shared" si="26"/>
        <v>0</v>
      </c>
      <c r="AH76" s="38">
        <f t="shared" si="26"/>
        <v>0</v>
      </c>
      <c r="AI76" s="38">
        <f t="shared" si="26"/>
        <v>0</v>
      </c>
      <c r="AJ76" s="38">
        <f t="shared" si="26"/>
        <v>0</v>
      </c>
      <c r="AK76" s="38">
        <f t="shared" si="26"/>
        <v>0</v>
      </c>
      <c r="AL76" s="38">
        <f t="shared" si="26"/>
        <v>0</v>
      </c>
      <c r="AM76" s="38">
        <f t="shared" si="26"/>
        <v>0</v>
      </c>
      <c r="AN76" s="38">
        <f t="shared" si="26"/>
        <v>0</v>
      </c>
      <c r="AO76" s="38">
        <f t="shared" si="26"/>
        <v>0</v>
      </c>
      <c r="AP76" s="38">
        <f t="shared" si="26"/>
        <v>0</v>
      </c>
      <c r="AQ76" s="38">
        <f t="shared" si="26"/>
        <v>0</v>
      </c>
      <c r="AR76" s="38">
        <f t="shared" si="26"/>
        <v>0</v>
      </c>
      <c r="AS76" s="38">
        <f t="shared" si="26"/>
        <v>0</v>
      </c>
      <c r="AT76" s="38">
        <f t="shared" si="26"/>
        <v>0</v>
      </c>
      <c r="AU76" s="38">
        <f t="shared" si="26"/>
        <v>0</v>
      </c>
    </row>
    <row r="77" spans="1:47" ht="15" customHeight="1" x14ac:dyDescent="0.4">
      <c r="A77" s="36">
        <v>62</v>
      </c>
      <c r="B77" s="36" t="s">
        <v>109</v>
      </c>
      <c r="C77" s="36" t="s">
        <v>39</v>
      </c>
      <c r="D77" s="37" t="s">
        <v>53</v>
      </c>
      <c r="E77" s="36" t="s">
        <v>113</v>
      </c>
      <c r="F77" s="36">
        <v>4</v>
      </c>
      <c r="G77" s="36">
        <f>DATA!K63</f>
        <v>2</v>
      </c>
      <c r="H77" s="36">
        <f>DATA!L63</f>
        <v>6</v>
      </c>
      <c r="I77" s="36">
        <f>DATA!O63</f>
        <v>2</v>
      </c>
      <c r="J77" s="36">
        <f>DATA!P63</f>
        <v>6</v>
      </c>
      <c r="K77" s="48">
        <f>DATA!N63</f>
        <v>0</v>
      </c>
      <c r="L77" s="49">
        <v>3</v>
      </c>
      <c r="M77" s="38">
        <f t="shared" si="24"/>
        <v>0</v>
      </c>
      <c r="N77" s="38">
        <f t="shared" si="24"/>
        <v>0</v>
      </c>
      <c r="O77" s="38">
        <f t="shared" si="24"/>
        <v>0</v>
      </c>
      <c r="P77" s="38">
        <f t="shared" si="24"/>
        <v>0</v>
      </c>
      <c r="Q77" s="38">
        <f t="shared" si="24"/>
        <v>0</v>
      </c>
      <c r="R77" s="38">
        <f t="shared" si="24"/>
        <v>0</v>
      </c>
      <c r="S77" s="38">
        <f t="shared" si="24"/>
        <v>0</v>
      </c>
      <c r="T77" s="38">
        <f t="shared" si="24"/>
        <v>0</v>
      </c>
      <c r="U77" s="38">
        <f t="shared" si="24"/>
        <v>0</v>
      </c>
      <c r="V77" s="38">
        <f t="shared" si="24"/>
        <v>0</v>
      </c>
      <c r="W77" s="38">
        <f t="shared" si="25"/>
        <v>0</v>
      </c>
      <c r="X77" s="38">
        <f t="shared" si="25"/>
        <v>0</v>
      </c>
      <c r="Y77" s="38">
        <f t="shared" si="25"/>
        <v>0</v>
      </c>
      <c r="Z77" s="38">
        <f t="shared" si="25"/>
        <v>0</v>
      </c>
      <c r="AA77" s="38">
        <f t="shared" si="25"/>
        <v>0</v>
      </c>
      <c r="AB77" s="38">
        <f t="shared" si="25"/>
        <v>0</v>
      </c>
      <c r="AC77" s="39">
        <f t="shared" si="25"/>
        <v>0</v>
      </c>
      <c r="AD77" s="38">
        <f t="shared" si="25"/>
        <v>3</v>
      </c>
      <c r="AE77" s="38">
        <f t="shared" si="25"/>
        <v>3</v>
      </c>
      <c r="AF77" s="38">
        <f t="shared" si="25"/>
        <v>0</v>
      </c>
      <c r="AG77" s="38">
        <f t="shared" si="26"/>
        <v>0</v>
      </c>
      <c r="AH77" s="38">
        <f t="shared" si="26"/>
        <v>0</v>
      </c>
      <c r="AI77" s="38">
        <f t="shared" si="26"/>
        <v>0</v>
      </c>
      <c r="AJ77" s="38">
        <f t="shared" si="26"/>
        <v>0</v>
      </c>
      <c r="AK77" s="38">
        <f t="shared" si="26"/>
        <v>0</v>
      </c>
      <c r="AL77" s="38">
        <f t="shared" si="26"/>
        <v>0</v>
      </c>
      <c r="AM77" s="38">
        <f t="shared" si="26"/>
        <v>0</v>
      </c>
      <c r="AN77" s="38">
        <f t="shared" si="26"/>
        <v>0</v>
      </c>
      <c r="AO77" s="38">
        <f t="shared" si="26"/>
        <v>0</v>
      </c>
      <c r="AP77" s="38">
        <f t="shared" si="26"/>
        <v>0</v>
      </c>
      <c r="AQ77" s="38">
        <f t="shared" si="26"/>
        <v>0</v>
      </c>
      <c r="AR77" s="38">
        <f t="shared" si="26"/>
        <v>0</v>
      </c>
      <c r="AS77" s="38">
        <f t="shared" si="26"/>
        <v>0</v>
      </c>
      <c r="AT77" s="38">
        <f t="shared" si="26"/>
        <v>0</v>
      </c>
      <c r="AU77" s="38">
        <f t="shared" si="26"/>
        <v>0</v>
      </c>
    </row>
    <row r="78" spans="1:47" ht="15" customHeight="1" x14ac:dyDescent="0.4">
      <c r="A78" s="36">
        <v>63</v>
      </c>
      <c r="B78" s="36" t="s">
        <v>109</v>
      </c>
      <c r="C78" s="36" t="s">
        <v>39</v>
      </c>
      <c r="D78" s="37" t="s">
        <v>54</v>
      </c>
      <c r="E78" s="36" t="s">
        <v>118</v>
      </c>
      <c r="F78" s="36">
        <v>4</v>
      </c>
      <c r="G78" s="36">
        <f>DATA!K64</f>
        <v>6</v>
      </c>
      <c r="H78" s="36">
        <f>DATA!L64</f>
        <v>10</v>
      </c>
      <c r="I78" s="36">
        <f>DATA!O64</f>
        <v>6</v>
      </c>
      <c r="J78" s="36">
        <f>DATA!P64</f>
        <v>10</v>
      </c>
      <c r="K78" s="48">
        <f>DATA!N64</f>
        <v>0</v>
      </c>
      <c r="L78" s="49">
        <v>4</v>
      </c>
      <c r="M78" s="38">
        <f t="shared" si="24"/>
        <v>0</v>
      </c>
      <c r="N78" s="38">
        <f t="shared" si="24"/>
        <v>0</v>
      </c>
      <c r="O78" s="38">
        <f t="shared" si="24"/>
        <v>0</v>
      </c>
      <c r="P78" s="38">
        <f t="shared" si="24"/>
        <v>0</v>
      </c>
      <c r="Q78" s="38">
        <f t="shared" si="24"/>
        <v>0</v>
      </c>
      <c r="R78" s="38">
        <f t="shared" si="24"/>
        <v>0</v>
      </c>
      <c r="S78" s="38">
        <f t="shared" si="24"/>
        <v>0</v>
      </c>
      <c r="T78" s="38">
        <f t="shared" si="24"/>
        <v>0</v>
      </c>
      <c r="U78" s="38">
        <f t="shared" si="24"/>
        <v>0</v>
      </c>
      <c r="V78" s="38">
        <f t="shared" si="24"/>
        <v>0</v>
      </c>
      <c r="W78" s="38">
        <f t="shared" si="25"/>
        <v>0</v>
      </c>
      <c r="X78" s="38">
        <f t="shared" si="25"/>
        <v>0</v>
      </c>
      <c r="Y78" s="38">
        <f t="shared" si="25"/>
        <v>0</v>
      </c>
      <c r="Z78" s="38">
        <f t="shared" si="25"/>
        <v>0</v>
      </c>
      <c r="AA78" s="38">
        <f t="shared" si="25"/>
        <v>0</v>
      </c>
      <c r="AB78" s="38">
        <f t="shared" si="25"/>
        <v>0</v>
      </c>
      <c r="AC78" s="39">
        <f t="shared" si="25"/>
        <v>0</v>
      </c>
      <c r="AD78" s="38">
        <f t="shared" si="25"/>
        <v>0</v>
      </c>
      <c r="AE78" s="38">
        <f t="shared" si="25"/>
        <v>0</v>
      </c>
      <c r="AF78" s="38">
        <f t="shared" si="25"/>
        <v>4</v>
      </c>
      <c r="AG78" s="38">
        <f t="shared" si="26"/>
        <v>4</v>
      </c>
      <c r="AH78" s="38">
        <f t="shared" si="26"/>
        <v>0</v>
      </c>
      <c r="AI78" s="38">
        <f t="shared" si="26"/>
        <v>0</v>
      </c>
      <c r="AJ78" s="38">
        <f t="shared" si="26"/>
        <v>0</v>
      </c>
      <c r="AK78" s="38">
        <f t="shared" si="26"/>
        <v>0</v>
      </c>
      <c r="AL78" s="38">
        <f t="shared" si="26"/>
        <v>0</v>
      </c>
      <c r="AM78" s="38">
        <f t="shared" si="26"/>
        <v>0</v>
      </c>
      <c r="AN78" s="38">
        <f t="shared" si="26"/>
        <v>0</v>
      </c>
      <c r="AO78" s="38">
        <f t="shared" si="26"/>
        <v>0</v>
      </c>
      <c r="AP78" s="38">
        <f t="shared" si="26"/>
        <v>0</v>
      </c>
      <c r="AQ78" s="38">
        <f t="shared" si="26"/>
        <v>0</v>
      </c>
      <c r="AR78" s="38">
        <f t="shared" si="26"/>
        <v>0</v>
      </c>
      <c r="AS78" s="38">
        <f t="shared" si="26"/>
        <v>0</v>
      </c>
      <c r="AT78" s="38">
        <f t="shared" si="26"/>
        <v>0</v>
      </c>
      <c r="AU78" s="38">
        <f t="shared" si="26"/>
        <v>0</v>
      </c>
    </row>
    <row r="79" spans="1:47" ht="15" customHeight="1" x14ac:dyDescent="0.4">
      <c r="A79" s="36">
        <v>64</v>
      </c>
      <c r="B79" s="36" t="s">
        <v>109</v>
      </c>
      <c r="C79" s="36" t="s">
        <v>39</v>
      </c>
      <c r="D79" s="37" t="s">
        <v>119</v>
      </c>
      <c r="E79" s="36" t="s">
        <v>118</v>
      </c>
      <c r="F79" s="36">
        <v>2</v>
      </c>
      <c r="G79" s="36">
        <f>DATA!K65</f>
        <v>10</v>
      </c>
      <c r="H79" s="36">
        <f>DATA!L65</f>
        <v>12</v>
      </c>
      <c r="I79" s="36">
        <f>DATA!O65</f>
        <v>10</v>
      </c>
      <c r="J79" s="36">
        <f>DATA!P65</f>
        <v>12</v>
      </c>
      <c r="K79" s="48">
        <f>DATA!N65</f>
        <v>0</v>
      </c>
      <c r="L79" s="49">
        <v>5</v>
      </c>
      <c r="M79" s="38">
        <f t="shared" si="24"/>
        <v>0</v>
      </c>
      <c r="N79" s="38">
        <f t="shared" si="24"/>
        <v>0</v>
      </c>
      <c r="O79" s="38">
        <f t="shared" si="24"/>
        <v>0</v>
      </c>
      <c r="P79" s="38">
        <f t="shared" si="24"/>
        <v>0</v>
      </c>
      <c r="Q79" s="38">
        <f t="shared" si="24"/>
        <v>0</v>
      </c>
      <c r="R79" s="38">
        <f t="shared" si="24"/>
        <v>0</v>
      </c>
      <c r="S79" s="38">
        <f t="shared" si="24"/>
        <v>0</v>
      </c>
      <c r="T79" s="38">
        <f t="shared" si="24"/>
        <v>0</v>
      </c>
      <c r="U79" s="38">
        <f t="shared" si="24"/>
        <v>0</v>
      </c>
      <c r="V79" s="38">
        <f t="shared" si="24"/>
        <v>0</v>
      </c>
      <c r="W79" s="38">
        <f t="shared" si="25"/>
        <v>0</v>
      </c>
      <c r="X79" s="38">
        <f t="shared" si="25"/>
        <v>0</v>
      </c>
      <c r="Y79" s="38">
        <f t="shared" si="25"/>
        <v>0</v>
      </c>
      <c r="Z79" s="38">
        <f t="shared" si="25"/>
        <v>0</v>
      </c>
      <c r="AA79" s="38">
        <f t="shared" si="25"/>
        <v>0</v>
      </c>
      <c r="AB79" s="38">
        <f t="shared" si="25"/>
        <v>0</v>
      </c>
      <c r="AC79" s="39">
        <f t="shared" si="25"/>
        <v>0</v>
      </c>
      <c r="AD79" s="38">
        <f t="shared" si="25"/>
        <v>0</v>
      </c>
      <c r="AE79" s="38">
        <f t="shared" si="25"/>
        <v>0</v>
      </c>
      <c r="AF79" s="38">
        <f t="shared" si="25"/>
        <v>0</v>
      </c>
      <c r="AG79" s="38">
        <f t="shared" si="26"/>
        <v>0</v>
      </c>
      <c r="AH79" s="38">
        <f t="shared" si="26"/>
        <v>5</v>
      </c>
      <c r="AI79" s="38">
        <f t="shared" si="26"/>
        <v>0</v>
      </c>
      <c r="AJ79" s="38">
        <f t="shared" si="26"/>
        <v>0</v>
      </c>
      <c r="AK79" s="38">
        <f t="shared" si="26"/>
        <v>0</v>
      </c>
      <c r="AL79" s="38">
        <f t="shared" si="26"/>
        <v>0</v>
      </c>
      <c r="AM79" s="38">
        <f t="shared" si="26"/>
        <v>0</v>
      </c>
      <c r="AN79" s="38">
        <f t="shared" si="26"/>
        <v>0</v>
      </c>
      <c r="AO79" s="38">
        <f t="shared" si="26"/>
        <v>0</v>
      </c>
      <c r="AP79" s="38">
        <f t="shared" si="26"/>
        <v>0</v>
      </c>
      <c r="AQ79" s="38">
        <f t="shared" si="26"/>
        <v>0</v>
      </c>
      <c r="AR79" s="38">
        <f t="shared" si="26"/>
        <v>0</v>
      </c>
      <c r="AS79" s="38">
        <f t="shared" si="26"/>
        <v>0</v>
      </c>
      <c r="AT79" s="38">
        <f t="shared" si="26"/>
        <v>0</v>
      </c>
      <c r="AU79" s="38">
        <f t="shared" si="26"/>
        <v>0</v>
      </c>
    </row>
    <row r="80" spans="1:47" ht="15" customHeight="1" x14ac:dyDescent="0.4">
      <c r="A80" s="36">
        <v>65</v>
      </c>
      <c r="B80" s="36" t="s">
        <v>109</v>
      </c>
      <c r="C80" s="36" t="s">
        <v>39</v>
      </c>
      <c r="D80" s="37" t="s">
        <v>125</v>
      </c>
      <c r="E80" s="36" t="s">
        <v>118</v>
      </c>
      <c r="F80" s="36">
        <v>2</v>
      </c>
      <c r="G80" s="36">
        <f>DATA!K66</f>
        <v>12</v>
      </c>
      <c r="H80" s="36">
        <f>DATA!L66</f>
        <v>14</v>
      </c>
      <c r="I80" s="36">
        <f>DATA!O66</f>
        <v>12</v>
      </c>
      <c r="J80" s="36">
        <f>DATA!P66</f>
        <v>14</v>
      </c>
      <c r="K80" s="48">
        <f>DATA!N66</f>
        <v>0</v>
      </c>
      <c r="L80" s="49">
        <v>6</v>
      </c>
      <c r="M80" s="38">
        <f t="shared" si="24"/>
        <v>0</v>
      </c>
      <c r="N80" s="38">
        <f t="shared" si="24"/>
        <v>0</v>
      </c>
      <c r="O80" s="38">
        <f t="shared" si="24"/>
        <v>0</v>
      </c>
      <c r="P80" s="38">
        <f t="shared" si="24"/>
        <v>0</v>
      </c>
      <c r="Q80" s="38">
        <f t="shared" si="24"/>
        <v>0</v>
      </c>
      <c r="R80" s="38">
        <f t="shared" si="24"/>
        <v>0</v>
      </c>
      <c r="S80" s="38">
        <f t="shared" si="24"/>
        <v>0</v>
      </c>
      <c r="T80" s="38">
        <f t="shared" si="24"/>
        <v>0</v>
      </c>
      <c r="U80" s="38">
        <f t="shared" si="24"/>
        <v>0</v>
      </c>
      <c r="V80" s="38">
        <f t="shared" si="24"/>
        <v>0</v>
      </c>
      <c r="W80" s="38">
        <f t="shared" si="25"/>
        <v>0</v>
      </c>
      <c r="X80" s="38">
        <f t="shared" si="25"/>
        <v>0</v>
      </c>
      <c r="Y80" s="38">
        <f t="shared" si="25"/>
        <v>0</v>
      </c>
      <c r="Z80" s="38">
        <f t="shared" si="25"/>
        <v>0</v>
      </c>
      <c r="AA80" s="38">
        <f t="shared" si="25"/>
        <v>0</v>
      </c>
      <c r="AB80" s="38">
        <f t="shared" si="25"/>
        <v>0</v>
      </c>
      <c r="AC80" s="39">
        <f t="shared" si="25"/>
        <v>0</v>
      </c>
      <c r="AD80" s="38">
        <f t="shared" si="25"/>
        <v>0</v>
      </c>
      <c r="AE80" s="38">
        <f t="shared" si="25"/>
        <v>0</v>
      </c>
      <c r="AF80" s="38">
        <f t="shared" si="25"/>
        <v>0</v>
      </c>
      <c r="AG80" s="38">
        <f t="shared" si="26"/>
        <v>0</v>
      </c>
      <c r="AH80" s="38">
        <f t="shared" si="26"/>
        <v>0</v>
      </c>
      <c r="AI80" s="38">
        <f t="shared" si="26"/>
        <v>6</v>
      </c>
      <c r="AJ80" s="38">
        <f t="shared" si="26"/>
        <v>0</v>
      </c>
      <c r="AK80" s="38">
        <f t="shared" si="26"/>
        <v>0</v>
      </c>
      <c r="AL80" s="38">
        <f t="shared" si="26"/>
        <v>0</v>
      </c>
      <c r="AM80" s="38">
        <f t="shared" si="26"/>
        <v>0</v>
      </c>
      <c r="AN80" s="38">
        <f t="shared" si="26"/>
        <v>0</v>
      </c>
      <c r="AO80" s="38">
        <f t="shared" si="26"/>
        <v>0</v>
      </c>
      <c r="AP80" s="38">
        <f t="shared" si="26"/>
        <v>0</v>
      </c>
      <c r="AQ80" s="38">
        <f t="shared" si="26"/>
        <v>0</v>
      </c>
      <c r="AR80" s="38">
        <f t="shared" si="26"/>
        <v>0</v>
      </c>
      <c r="AS80" s="38">
        <f t="shared" si="26"/>
        <v>0</v>
      </c>
      <c r="AT80" s="38">
        <f t="shared" si="26"/>
        <v>0</v>
      </c>
      <c r="AU80" s="38">
        <f t="shared" si="26"/>
        <v>0</v>
      </c>
    </row>
    <row r="81" spans="1:47" ht="15" customHeight="1" x14ac:dyDescent="0.4">
      <c r="A81" s="36">
        <v>66</v>
      </c>
      <c r="B81" s="36" t="s">
        <v>109</v>
      </c>
      <c r="C81" s="36" t="s">
        <v>39</v>
      </c>
      <c r="D81" s="37" t="s">
        <v>57</v>
      </c>
      <c r="E81" s="36" t="s">
        <v>118</v>
      </c>
      <c r="F81" s="36">
        <v>2</v>
      </c>
      <c r="G81" s="36">
        <f>DATA!K67</f>
        <v>14</v>
      </c>
      <c r="H81" s="36">
        <f>DATA!L67</f>
        <v>16</v>
      </c>
      <c r="I81" s="36">
        <f>DATA!O67</f>
        <v>14</v>
      </c>
      <c r="J81" s="36">
        <f>DATA!P67</f>
        <v>16</v>
      </c>
      <c r="K81" s="48">
        <f>DATA!N67</f>
        <v>0</v>
      </c>
      <c r="L81" s="49">
        <v>7</v>
      </c>
      <c r="M81" s="38">
        <f t="shared" si="24"/>
        <v>0</v>
      </c>
      <c r="N81" s="38">
        <f t="shared" si="24"/>
        <v>0</v>
      </c>
      <c r="O81" s="38">
        <f t="shared" si="24"/>
        <v>0</v>
      </c>
      <c r="P81" s="38">
        <f t="shared" si="24"/>
        <v>0</v>
      </c>
      <c r="Q81" s="38">
        <f t="shared" si="24"/>
        <v>0</v>
      </c>
      <c r="R81" s="38">
        <f t="shared" si="24"/>
        <v>0</v>
      </c>
      <c r="S81" s="38">
        <f t="shared" si="24"/>
        <v>0</v>
      </c>
      <c r="T81" s="38">
        <f t="shared" si="24"/>
        <v>0</v>
      </c>
      <c r="U81" s="38">
        <f t="shared" si="24"/>
        <v>0</v>
      </c>
      <c r="V81" s="38">
        <f t="shared" si="24"/>
        <v>0</v>
      </c>
      <c r="W81" s="38">
        <f t="shared" si="25"/>
        <v>0</v>
      </c>
      <c r="X81" s="38">
        <f t="shared" si="25"/>
        <v>0</v>
      </c>
      <c r="Y81" s="38">
        <f t="shared" si="25"/>
        <v>0</v>
      </c>
      <c r="Z81" s="38">
        <f t="shared" si="25"/>
        <v>0</v>
      </c>
      <c r="AA81" s="38">
        <f t="shared" si="25"/>
        <v>0</v>
      </c>
      <c r="AB81" s="38">
        <f t="shared" si="25"/>
        <v>0</v>
      </c>
      <c r="AC81" s="39">
        <f t="shared" si="25"/>
        <v>0</v>
      </c>
      <c r="AD81" s="38">
        <f t="shared" si="25"/>
        <v>0</v>
      </c>
      <c r="AE81" s="38">
        <f t="shared" si="25"/>
        <v>0</v>
      </c>
      <c r="AF81" s="38">
        <f t="shared" si="25"/>
        <v>0</v>
      </c>
      <c r="AG81" s="38">
        <f t="shared" si="26"/>
        <v>0</v>
      </c>
      <c r="AH81" s="38">
        <f t="shared" si="26"/>
        <v>0</v>
      </c>
      <c r="AI81" s="38">
        <f t="shared" si="26"/>
        <v>0</v>
      </c>
      <c r="AJ81" s="38">
        <f t="shared" si="26"/>
        <v>7</v>
      </c>
      <c r="AK81" s="38">
        <f t="shared" si="26"/>
        <v>0</v>
      </c>
      <c r="AL81" s="38">
        <f t="shared" si="26"/>
        <v>0</v>
      </c>
      <c r="AM81" s="38">
        <f t="shared" si="26"/>
        <v>0</v>
      </c>
      <c r="AN81" s="38">
        <f t="shared" si="26"/>
        <v>0</v>
      </c>
      <c r="AO81" s="38">
        <f t="shared" si="26"/>
        <v>0</v>
      </c>
      <c r="AP81" s="38">
        <f t="shared" si="26"/>
        <v>0</v>
      </c>
      <c r="AQ81" s="38">
        <f t="shared" si="26"/>
        <v>0</v>
      </c>
      <c r="AR81" s="38">
        <f t="shared" si="26"/>
        <v>0</v>
      </c>
      <c r="AS81" s="38">
        <f t="shared" si="26"/>
        <v>0</v>
      </c>
      <c r="AT81" s="38">
        <f t="shared" si="26"/>
        <v>0</v>
      </c>
      <c r="AU81" s="38">
        <f t="shared" si="26"/>
        <v>0</v>
      </c>
    </row>
    <row r="82" spans="1:47" ht="16.05" customHeight="1" x14ac:dyDescent="0.4">
      <c r="A82" s="62" t="s">
        <v>200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8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</row>
    <row r="83" spans="1:47" ht="15" customHeight="1" x14ac:dyDescent="0.4">
      <c r="A83" s="42">
        <v>67</v>
      </c>
      <c r="B83" s="42" t="s">
        <v>109</v>
      </c>
      <c r="C83" s="42" t="s">
        <v>42</v>
      </c>
      <c r="D83" s="43" t="s">
        <v>111</v>
      </c>
      <c r="E83" s="42" t="s">
        <v>113</v>
      </c>
      <c r="F83" s="42">
        <v>6</v>
      </c>
      <c r="G83" s="42">
        <f>DATA!K68</f>
        <v>-10</v>
      </c>
      <c r="H83" s="42">
        <f>DATA!L68</f>
        <v>-4</v>
      </c>
      <c r="I83" s="42">
        <f>DATA!O68</f>
        <v>-10</v>
      </c>
      <c r="J83" s="42">
        <f>DATA!P68</f>
        <v>-4</v>
      </c>
      <c r="K83" s="44">
        <f>DATA!N68</f>
        <v>0</v>
      </c>
      <c r="L83" s="45">
        <v>1</v>
      </c>
      <c r="M83" s="46">
        <f t="shared" ref="M83:V89" si="27">IF(AND(M$5&gt;=$I83,M$5&lt;$J83),IF(AND(M$5&gt;=$G83,M$5&lt;$H83),$L83,$L83+100),IF(AND(M$5&gt;=$G83,M$5&lt;$H83),-1,0))</f>
        <v>0</v>
      </c>
      <c r="N83" s="46">
        <f t="shared" si="27"/>
        <v>0</v>
      </c>
      <c r="O83" s="46">
        <f t="shared" si="27"/>
        <v>0</v>
      </c>
      <c r="P83" s="46">
        <f t="shared" si="27"/>
        <v>0</v>
      </c>
      <c r="Q83" s="46">
        <f t="shared" si="27"/>
        <v>0</v>
      </c>
      <c r="R83" s="46">
        <f t="shared" si="27"/>
        <v>0</v>
      </c>
      <c r="S83" s="46">
        <f t="shared" si="27"/>
        <v>0</v>
      </c>
      <c r="T83" s="46">
        <f t="shared" si="27"/>
        <v>0</v>
      </c>
      <c r="U83" s="46">
        <f t="shared" si="27"/>
        <v>0</v>
      </c>
      <c r="V83" s="46">
        <f t="shared" si="27"/>
        <v>0</v>
      </c>
      <c r="W83" s="46">
        <f t="shared" ref="W83:AF89" si="28">IF(AND(W$5&gt;=$I83,W$5&lt;$J83),IF(AND(W$5&gt;=$G83,W$5&lt;$H83),$L83,$L83+100),IF(AND(W$5&gt;=$G83,W$5&lt;$H83),-1,0))</f>
        <v>0</v>
      </c>
      <c r="X83" s="46">
        <f t="shared" si="28"/>
        <v>1</v>
      </c>
      <c r="Y83" s="46">
        <f t="shared" si="28"/>
        <v>1</v>
      </c>
      <c r="Z83" s="46">
        <f t="shared" si="28"/>
        <v>1</v>
      </c>
      <c r="AA83" s="46">
        <f t="shared" si="28"/>
        <v>0</v>
      </c>
      <c r="AB83" s="46">
        <f t="shared" si="28"/>
        <v>0</v>
      </c>
      <c r="AC83" s="47">
        <f t="shared" si="28"/>
        <v>0</v>
      </c>
      <c r="AD83" s="46">
        <f t="shared" si="28"/>
        <v>0</v>
      </c>
      <c r="AE83" s="46">
        <f t="shared" si="28"/>
        <v>0</v>
      </c>
      <c r="AF83" s="46">
        <f t="shared" si="28"/>
        <v>0</v>
      </c>
      <c r="AG83" s="46">
        <f t="shared" ref="AG83:AU89" si="29">IF(AND(AG$5&gt;=$I83,AG$5&lt;$J83),IF(AND(AG$5&gt;=$G83,AG$5&lt;$H83),$L83,$L83+100),IF(AND(AG$5&gt;=$G83,AG$5&lt;$H83),-1,0))</f>
        <v>0</v>
      </c>
      <c r="AH83" s="46">
        <f t="shared" si="29"/>
        <v>0</v>
      </c>
      <c r="AI83" s="46">
        <f t="shared" si="29"/>
        <v>0</v>
      </c>
      <c r="AJ83" s="46">
        <f t="shared" si="29"/>
        <v>0</v>
      </c>
      <c r="AK83" s="46">
        <f t="shared" si="29"/>
        <v>0</v>
      </c>
      <c r="AL83" s="46">
        <f t="shared" si="29"/>
        <v>0</v>
      </c>
      <c r="AM83" s="46">
        <f t="shared" si="29"/>
        <v>0</v>
      </c>
      <c r="AN83" s="46">
        <f t="shared" si="29"/>
        <v>0</v>
      </c>
      <c r="AO83" s="46">
        <f t="shared" si="29"/>
        <v>0</v>
      </c>
      <c r="AP83" s="46">
        <f t="shared" si="29"/>
        <v>0</v>
      </c>
      <c r="AQ83" s="46">
        <f t="shared" si="29"/>
        <v>0</v>
      </c>
      <c r="AR83" s="46">
        <f t="shared" si="29"/>
        <v>0</v>
      </c>
      <c r="AS83" s="46">
        <f t="shared" si="29"/>
        <v>0</v>
      </c>
      <c r="AT83" s="46">
        <f t="shared" si="29"/>
        <v>0</v>
      </c>
      <c r="AU83" s="46">
        <f t="shared" si="29"/>
        <v>0</v>
      </c>
    </row>
    <row r="84" spans="1:47" ht="15" customHeight="1" x14ac:dyDescent="0.4">
      <c r="A84" s="42">
        <v>68</v>
      </c>
      <c r="B84" s="42" t="s">
        <v>109</v>
      </c>
      <c r="C84" s="42" t="s">
        <v>42</v>
      </c>
      <c r="D84" s="43" t="s">
        <v>52</v>
      </c>
      <c r="E84" s="42" t="s">
        <v>113</v>
      </c>
      <c r="F84" s="42">
        <v>4</v>
      </c>
      <c r="G84" s="42">
        <f>DATA!K69</f>
        <v>0</v>
      </c>
      <c r="H84" s="42">
        <f>DATA!L69</f>
        <v>4</v>
      </c>
      <c r="I84" s="42">
        <f>DATA!O69</f>
        <v>0</v>
      </c>
      <c r="J84" s="42">
        <f>DATA!P69</f>
        <v>4</v>
      </c>
      <c r="K84" s="44">
        <f>DATA!N69</f>
        <v>0</v>
      </c>
      <c r="L84" s="45">
        <v>2</v>
      </c>
      <c r="M84" s="46">
        <f t="shared" si="27"/>
        <v>0</v>
      </c>
      <c r="N84" s="46">
        <f t="shared" si="27"/>
        <v>0</v>
      </c>
      <c r="O84" s="46">
        <f t="shared" si="27"/>
        <v>0</v>
      </c>
      <c r="P84" s="46">
        <f t="shared" si="27"/>
        <v>0</v>
      </c>
      <c r="Q84" s="46">
        <f t="shared" si="27"/>
        <v>0</v>
      </c>
      <c r="R84" s="46">
        <f t="shared" si="27"/>
        <v>0</v>
      </c>
      <c r="S84" s="46">
        <f t="shared" si="27"/>
        <v>0</v>
      </c>
      <c r="T84" s="46">
        <f t="shared" si="27"/>
        <v>0</v>
      </c>
      <c r="U84" s="46">
        <f t="shared" si="27"/>
        <v>0</v>
      </c>
      <c r="V84" s="46">
        <f t="shared" si="27"/>
        <v>0</v>
      </c>
      <c r="W84" s="46">
        <f t="shared" si="28"/>
        <v>0</v>
      </c>
      <c r="X84" s="46">
        <f t="shared" si="28"/>
        <v>0</v>
      </c>
      <c r="Y84" s="46">
        <f t="shared" si="28"/>
        <v>0</v>
      </c>
      <c r="Z84" s="46">
        <f t="shared" si="28"/>
        <v>0</v>
      </c>
      <c r="AA84" s="46">
        <f t="shared" si="28"/>
        <v>0</v>
      </c>
      <c r="AB84" s="46">
        <f t="shared" si="28"/>
        <v>0</v>
      </c>
      <c r="AC84" s="47">
        <f t="shared" si="28"/>
        <v>2</v>
      </c>
      <c r="AD84" s="46">
        <f t="shared" si="28"/>
        <v>2</v>
      </c>
      <c r="AE84" s="46">
        <f t="shared" si="28"/>
        <v>0</v>
      </c>
      <c r="AF84" s="46">
        <f t="shared" si="28"/>
        <v>0</v>
      </c>
      <c r="AG84" s="46">
        <f t="shared" si="29"/>
        <v>0</v>
      </c>
      <c r="AH84" s="46">
        <f t="shared" si="29"/>
        <v>0</v>
      </c>
      <c r="AI84" s="46">
        <f t="shared" si="29"/>
        <v>0</v>
      </c>
      <c r="AJ84" s="46">
        <f t="shared" si="29"/>
        <v>0</v>
      </c>
      <c r="AK84" s="46">
        <f t="shared" si="29"/>
        <v>0</v>
      </c>
      <c r="AL84" s="46">
        <f t="shared" si="29"/>
        <v>0</v>
      </c>
      <c r="AM84" s="46">
        <f t="shared" si="29"/>
        <v>0</v>
      </c>
      <c r="AN84" s="46">
        <f t="shared" si="29"/>
        <v>0</v>
      </c>
      <c r="AO84" s="46">
        <f t="shared" si="29"/>
        <v>0</v>
      </c>
      <c r="AP84" s="46">
        <f t="shared" si="29"/>
        <v>0</v>
      </c>
      <c r="AQ84" s="46">
        <f t="shared" si="29"/>
        <v>0</v>
      </c>
      <c r="AR84" s="46">
        <f t="shared" si="29"/>
        <v>0</v>
      </c>
      <c r="AS84" s="46">
        <f t="shared" si="29"/>
        <v>0</v>
      </c>
      <c r="AT84" s="46">
        <f t="shared" si="29"/>
        <v>0</v>
      </c>
      <c r="AU84" s="46">
        <f t="shared" si="29"/>
        <v>0</v>
      </c>
    </row>
    <row r="85" spans="1:47" ht="15" customHeight="1" x14ac:dyDescent="0.4">
      <c r="A85" s="42">
        <v>69</v>
      </c>
      <c r="B85" s="42" t="s">
        <v>109</v>
      </c>
      <c r="C85" s="42" t="s">
        <v>42</v>
      </c>
      <c r="D85" s="43" t="s">
        <v>53</v>
      </c>
      <c r="E85" s="42" t="s">
        <v>113</v>
      </c>
      <c r="F85" s="42">
        <v>4</v>
      </c>
      <c r="G85" s="42">
        <f>DATA!K70</f>
        <v>2</v>
      </c>
      <c r="H85" s="42">
        <f>DATA!L70</f>
        <v>6</v>
      </c>
      <c r="I85" s="42">
        <f>DATA!O70</f>
        <v>2</v>
      </c>
      <c r="J85" s="42">
        <f>DATA!P70</f>
        <v>6</v>
      </c>
      <c r="K85" s="44">
        <f>DATA!N70</f>
        <v>0</v>
      </c>
      <c r="L85" s="45">
        <v>3</v>
      </c>
      <c r="M85" s="46">
        <f t="shared" si="27"/>
        <v>0</v>
      </c>
      <c r="N85" s="46">
        <f t="shared" si="27"/>
        <v>0</v>
      </c>
      <c r="O85" s="46">
        <f t="shared" si="27"/>
        <v>0</v>
      </c>
      <c r="P85" s="46">
        <f t="shared" si="27"/>
        <v>0</v>
      </c>
      <c r="Q85" s="46">
        <f t="shared" si="27"/>
        <v>0</v>
      </c>
      <c r="R85" s="46">
        <f t="shared" si="27"/>
        <v>0</v>
      </c>
      <c r="S85" s="46">
        <f t="shared" si="27"/>
        <v>0</v>
      </c>
      <c r="T85" s="46">
        <f t="shared" si="27"/>
        <v>0</v>
      </c>
      <c r="U85" s="46">
        <f t="shared" si="27"/>
        <v>0</v>
      </c>
      <c r="V85" s="46">
        <f t="shared" si="27"/>
        <v>0</v>
      </c>
      <c r="W85" s="46">
        <f t="shared" si="28"/>
        <v>0</v>
      </c>
      <c r="X85" s="46">
        <f t="shared" si="28"/>
        <v>0</v>
      </c>
      <c r="Y85" s="46">
        <f t="shared" si="28"/>
        <v>0</v>
      </c>
      <c r="Z85" s="46">
        <f t="shared" si="28"/>
        <v>0</v>
      </c>
      <c r="AA85" s="46">
        <f t="shared" si="28"/>
        <v>0</v>
      </c>
      <c r="AB85" s="46">
        <f t="shared" si="28"/>
        <v>0</v>
      </c>
      <c r="AC85" s="47">
        <f t="shared" si="28"/>
        <v>0</v>
      </c>
      <c r="AD85" s="46">
        <f t="shared" si="28"/>
        <v>3</v>
      </c>
      <c r="AE85" s="46">
        <f t="shared" si="28"/>
        <v>3</v>
      </c>
      <c r="AF85" s="46">
        <f t="shared" si="28"/>
        <v>0</v>
      </c>
      <c r="AG85" s="46">
        <f t="shared" si="29"/>
        <v>0</v>
      </c>
      <c r="AH85" s="46">
        <f t="shared" si="29"/>
        <v>0</v>
      </c>
      <c r="AI85" s="46">
        <f t="shared" si="29"/>
        <v>0</v>
      </c>
      <c r="AJ85" s="46">
        <f t="shared" si="29"/>
        <v>0</v>
      </c>
      <c r="AK85" s="46">
        <f t="shared" si="29"/>
        <v>0</v>
      </c>
      <c r="AL85" s="46">
        <f t="shared" si="29"/>
        <v>0</v>
      </c>
      <c r="AM85" s="46">
        <f t="shared" si="29"/>
        <v>0</v>
      </c>
      <c r="AN85" s="46">
        <f t="shared" si="29"/>
        <v>0</v>
      </c>
      <c r="AO85" s="46">
        <f t="shared" si="29"/>
        <v>0</v>
      </c>
      <c r="AP85" s="46">
        <f t="shared" si="29"/>
        <v>0</v>
      </c>
      <c r="AQ85" s="46">
        <f t="shared" si="29"/>
        <v>0</v>
      </c>
      <c r="AR85" s="46">
        <f t="shared" si="29"/>
        <v>0</v>
      </c>
      <c r="AS85" s="46">
        <f t="shared" si="29"/>
        <v>0</v>
      </c>
      <c r="AT85" s="46">
        <f t="shared" si="29"/>
        <v>0</v>
      </c>
      <c r="AU85" s="46">
        <f t="shared" si="29"/>
        <v>0</v>
      </c>
    </row>
    <row r="86" spans="1:47" ht="15" customHeight="1" x14ac:dyDescent="0.4">
      <c r="A86" s="42">
        <v>70</v>
      </c>
      <c r="B86" s="42" t="s">
        <v>109</v>
      </c>
      <c r="C86" s="42" t="s">
        <v>42</v>
      </c>
      <c r="D86" s="43" t="s">
        <v>54</v>
      </c>
      <c r="E86" s="42" t="s">
        <v>118</v>
      </c>
      <c r="F86" s="42">
        <v>6</v>
      </c>
      <c r="G86" s="42">
        <f>DATA!K71</f>
        <v>4</v>
      </c>
      <c r="H86" s="42">
        <f>DATA!L71</f>
        <v>10</v>
      </c>
      <c r="I86" s="42">
        <f>DATA!O71</f>
        <v>4</v>
      </c>
      <c r="J86" s="42">
        <f>DATA!P71</f>
        <v>10</v>
      </c>
      <c r="K86" s="44">
        <f>DATA!N71</f>
        <v>0</v>
      </c>
      <c r="L86" s="45">
        <v>4</v>
      </c>
      <c r="M86" s="46">
        <f t="shared" si="27"/>
        <v>0</v>
      </c>
      <c r="N86" s="46">
        <f t="shared" si="27"/>
        <v>0</v>
      </c>
      <c r="O86" s="46">
        <f t="shared" si="27"/>
        <v>0</v>
      </c>
      <c r="P86" s="46">
        <f t="shared" si="27"/>
        <v>0</v>
      </c>
      <c r="Q86" s="46">
        <f t="shared" si="27"/>
        <v>0</v>
      </c>
      <c r="R86" s="46">
        <f t="shared" si="27"/>
        <v>0</v>
      </c>
      <c r="S86" s="46">
        <f t="shared" si="27"/>
        <v>0</v>
      </c>
      <c r="T86" s="46">
        <f t="shared" si="27"/>
        <v>0</v>
      </c>
      <c r="U86" s="46">
        <f t="shared" si="27"/>
        <v>0</v>
      </c>
      <c r="V86" s="46">
        <f t="shared" si="27"/>
        <v>0</v>
      </c>
      <c r="W86" s="46">
        <f t="shared" si="28"/>
        <v>0</v>
      </c>
      <c r="X86" s="46">
        <f t="shared" si="28"/>
        <v>0</v>
      </c>
      <c r="Y86" s="46">
        <f t="shared" si="28"/>
        <v>0</v>
      </c>
      <c r="Z86" s="46">
        <f t="shared" si="28"/>
        <v>0</v>
      </c>
      <c r="AA86" s="46">
        <f t="shared" si="28"/>
        <v>0</v>
      </c>
      <c r="AB86" s="46">
        <f t="shared" si="28"/>
        <v>0</v>
      </c>
      <c r="AC86" s="47">
        <f t="shared" si="28"/>
        <v>0</v>
      </c>
      <c r="AD86" s="46">
        <f t="shared" si="28"/>
        <v>0</v>
      </c>
      <c r="AE86" s="46">
        <f t="shared" si="28"/>
        <v>4</v>
      </c>
      <c r="AF86" s="46">
        <f t="shared" si="28"/>
        <v>4</v>
      </c>
      <c r="AG86" s="46">
        <f t="shared" si="29"/>
        <v>4</v>
      </c>
      <c r="AH86" s="46">
        <f t="shared" si="29"/>
        <v>0</v>
      </c>
      <c r="AI86" s="46">
        <f t="shared" si="29"/>
        <v>0</v>
      </c>
      <c r="AJ86" s="46">
        <f t="shared" si="29"/>
        <v>0</v>
      </c>
      <c r="AK86" s="46">
        <f t="shared" si="29"/>
        <v>0</v>
      </c>
      <c r="AL86" s="46">
        <f t="shared" si="29"/>
        <v>0</v>
      </c>
      <c r="AM86" s="46">
        <f t="shared" si="29"/>
        <v>0</v>
      </c>
      <c r="AN86" s="46">
        <f t="shared" si="29"/>
        <v>0</v>
      </c>
      <c r="AO86" s="46">
        <f t="shared" si="29"/>
        <v>0</v>
      </c>
      <c r="AP86" s="46">
        <f t="shared" si="29"/>
        <v>0</v>
      </c>
      <c r="AQ86" s="46">
        <f t="shared" si="29"/>
        <v>0</v>
      </c>
      <c r="AR86" s="46">
        <f t="shared" si="29"/>
        <v>0</v>
      </c>
      <c r="AS86" s="46">
        <f t="shared" si="29"/>
        <v>0</v>
      </c>
      <c r="AT86" s="46">
        <f t="shared" si="29"/>
        <v>0</v>
      </c>
      <c r="AU86" s="46">
        <f t="shared" si="29"/>
        <v>0</v>
      </c>
    </row>
    <row r="87" spans="1:47" ht="15" customHeight="1" x14ac:dyDescent="0.4">
      <c r="A87" s="42">
        <v>71</v>
      </c>
      <c r="B87" s="42" t="s">
        <v>109</v>
      </c>
      <c r="C87" s="42" t="s">
        <v>42</v>
      </c>
      <c r="D87" s="43" t="s">
        <v>119</v>
      </c>
      <c r="E87" s="42" t="s">
        <v>118</v>
      </c>
      <c r="F87" s="42">
        <v>2</v>
      </c>
      <c r="G87" s="42">
        <f>DATA!K72</f>
        <v>10</v>
      </c>
      <c r="H87" s="42">
        <f>DATA!L72</f>
        <v>12</v>
      </c>
      <c r="I87" s="42">
        <f>DATA!O72</f>
        <v>10</v>
      </c>
      <c r="J87" s="42">
        <f>DATA!P72</f>
        <v>12</v>
      </c>
      <c r="K87" s="44">
        <f>DATA!N72</f>
        <v>0</v>
      </c>
      <c r="L87" s="45">
        <v>5</v>
      </c>
      <c r="M87" s="46">
        <f t="shared" si="27"/>
        <v>0</v>
      </c>
      <c r="N87" s="46">
        <f t="shared" si="27"/>
        <v>0</v>
      </c>
      <c r="O87" s="46">
        <f t="shared" si="27"/>
        <v>0</v>
      </c>
      <c r="P87" s="46">
        <f t="shared" si="27"/>
        <v>0</v>
      </c>
      <c r="Q87" s="46">
        <f t="shared" si="27"/>
        <v>0</v>
      </c>
      <c r="R87" s="46">
        <f t="shared" si="27"/>
        <v>0</v>
      </c>
      <c r="S87" s="46">
        <f t="shared" si="27"/>
        <v>0</v>
      </c>
      <c r="T87" s="46">
        <f t="shared" si="27"/>
        <v>0</v>
      </c>
      <c r="U87" s="46">
        <f t="shared" si="27"/>
        <v>0</v>
      </c>
      <c r="V87" s="46">
        <f t="shared" si="27"/>
        <v>0</v>
      </c>
      <c r="W87" s="46">
        <f t="shared" si="28"/>
        <v>0</v>
      </c>
      <c r="X87" s="46">
        <f t="shared" si="28"/>
        <v>0</v>
      </c>
      <c r="Y87" s="46">
        <f t="shared" si="28"/>
        <v>0</v>
      </c>
      <c r="Z87" s="46">
        <f t="shared" si="28"/>
        <v>0</v>
      </c>
      <c r="AA87" s="46">
        <f t="shared" si="28"/>
        <v>0</v>
      </c>
      <c r="AB87" s="46">
        <f t="shared" si="28"/>
        <v>0</v>
      </c>
      <c r="AC87" s="47">
        <f t="shared" si="28"/>
        <v>0</v>
      </c>
      <c r="AD87" s="46">
        <f t="shared" si="28"/>
        <v>0</v>
      </c>
      <c r="AE87" s="46">
        <f t="shared" si="28"/>
        <v>0</v>
      </c>
      <c r="AF87" s="46">
        <f t="shared" si="28"/>
        <v>0</v>
      </c>
      <c r="AG87" s="46">
        <f t="shared" si="29"/>
        <v>0</v>
      </c>
      <c r="AH87" s="46">
        <f t="shared" si="29"/>
        <v>5</v>
      </c>
      <c r="AI87" s="46">
        <f t="shared" si="29"/>
        <v>0</v>
      </c>
      <c r="AJ87" s="46">
        <f t="shared" si="29"/>
        <v>0</v>
      </c>
      <c r="AK87" s="46">
        <f t="shared" si="29"/>
        <v>0</v>
      </c>
      <c r="AL87" s="46">
        <f t="shared" si="29"/>
        <v>0</v>
      </c>
      <c r="AM87" s="46">
        <f t="shared" si="29"/>
        <v>0</v>
      </c>
      <c r="AN87" s="46">
        <f t="shared" si="29"/>
        <v>0</v>
      </c>
      <c r="AO87" s="46">
        <f t="shared" si="29"/>
        <v>0</v>
      </c>
      <c r="AP87" s="46">
        <f t="shared" si="29"/>
        <v>0</v>
      </c>
      <c r="AQ87" s="46">
        <f t="shared" si="29"/>
        <v>0</v>
      </c>
      <c r="AR87" s="46">
        <f t="shared" si="29"/>
        <v>0</v>
      </c>
      <c r="AS87" s="46">
        <f t="shared" si="29"/>
        <v>0</v>
      </c>
      <c r="AT87" s="46">
        <f t="shared" si="29"/>
        <v>0</v>
      </c>
      <c r="AU87" s="46">
        <f t="shared" si="29"/>
        <v>0</v>
      </c>
    </row>
    <row r="88" spans="1:47" ht="15" customHeight="1" x14ac:dyDescent="0.4">
      <c r="A88" s="42">
        <v>72</v>
      </c>
      <c r="B88" s="42" t="s">
        <v>109</v>
      </c>
      <c r="C88" s="42" t="s">
        <v>42</v>
      </c>
      <c r="D88" s="43" t="s">
        <v>125</v>
      </c>
      <c r="E88" s="42" t="s">
        <v>118</v>
      </c>
      <c r="F88" s="42">
        <v>2</v>
      </c>
      <c r="G88" s="42">
        <f>DATA!K73</f>
        <v>12</v>
      </c>
      <c r="H88" s="42">
        <f>DATA!L73</f>
        <v>14</v>
      </c>
      <c r="I88" s="42">
        <f>DATA!O73</f>
        <v>12</v>
      </c>
      <c r="J88" s="42">
        <f>DATA!P73</f>
        <v>14</v>
      </c>
      <c r="K88" s="44">
        <f>DATA!N73</f>
        <v>0</v>
      </c>
      <c r="L88" s="45">
        <v>6</v>
      </c>
      <c r="M88" s="46">
        <f t="shared" si="27"/>
        <v>0</v>
      </c>
      <c r="N88" s="46">
        <f t="shared" si="27"/>
        <v>0</v>
      </c>
      <c r="O88" s="46">
        <f t="shared" si="27"/>
        <v>0</v>
      </c>
      <c r="P88" s="46">
        <f t="shared" si="27"/>
        <v>0</v>
      </c>
      <c r="Q88" s="46">
        <f t="shared" si="27"/>
        <v>0</v>
      </c>
      <c r="R88" s="46">
        <f t="shared" si="27"/>
        <v>0</v>
      </c>
      <c r="S88" s="46">
        <f t="shared" si="27"/>
        <v>0</v>
      </c>
      <c r="T88" s="46">
        <f t="shared" si="27"/>
        <v>0</v>
      </c>
      <c r="U88" s="46">
        <f t="shared" si="27"/>
        <v>0</v>
      </c>
      <c r="V88" s="46">
        <f t="shared" si="27"/>
        <v>0</v>
      </c>
      <c r="W88" s="46">
        <f t="shared" si="28"/>
        <v>0</v>
      </c>
      <c r="X88" s="46">
        <f t="shared" si="28"/>
        <v>0</v>
      </c>
      <c r="Y88" s="46">
        <f t="shared" si="28"/>
        <v>0</v>
      </c>
      <c r="Z88" s="46">
        <f t="shared" si="28"/>
        <v>0</v>
      </c>
      <c r="AA88" s="46">
        <f t="shared" si="28"/>
        <v>0</v>
      </c>
      <c r="AB88" s="46">
        <f t="shared" si="28"/>
        <v>0</v>
      </c>
      <c r="AC88" s="47">
        <f t="shared" si="28"/>
        <v>0</v>
      </c>
      <c r="AD88" s="46">
        <f t="shared" si="28"/>
        <v>0</v>
      </c>
      <c r="AE88" s="46">
        <f t="shared" si="28"/>
        <v>0</v>
      </c>
      <c r="AF88" s="46">
        <f t="shared" si="28"/>
        <v>0</v>
      </c>
      <c r="AG88" s="46">
        <f t="shared" si="29"/>
        <v>0</v>
      </c>
      <c r="AH88" s="46">
        <f t="shared" si="29"/>
        <v>0</v>
      </c>
      <c r="AI88" s="46">
        <f t="shared" si="29"/>
        <v>6</v>
      </c>
      <c r="AJ88" s="46">
        <f t="shared" si="29"/>
        <v>0</v>
      </c>
      <c r="AK88" s="46">
        <f t="shared" si="29"/>
        <v>0</v>
      </c>
      <c r="AL88" s="46">
        <f t="shared" si="29"/>
        <v>0</v>
      </c>
      <c r="AM88" s="46">
        <f t="shared" si="29"/>
        <v>0</v>
      </c>
      <c r="AN88" s="46">
        <f t="shared" si="29"/>
        <v>0</v>
      </c>
      <c r="AO88" s="46">
        <f t="shared" si="29"/>
        <v>0</v>
      </c>
      <c r="AP88" s="46">
        <f t="shared" si="29"/>
        <v>0</v>
      </c>
      <c r="AQ88" s="46">
        <f t="shared" si="29"/>
        <v>0</v>
      </c>
      <c r="AR88" s="46">
        <f t="shared" si="29"/>
        <v>0</v>
      </c>
      <c r="AS88" s="46">
        <f t="shared" si="29"/>
        <v>0</v>
      </c>
      <c r="AT88" s="46">
        <f t="shared" si="29"/>
        <v>0</v>
      </c>
      <c r="AU88" s="46">
        <f t="shared" si="29"/>
        <v>0</v>
      </c>
    </row>
    <row r="89" spans="1:47" ht="15" customHeight="1" x14ac:dyDescent="0.4">
      <c r="A89" s="42">
        <v>73</v>
      </c>
      <c r="B89" s="42" t="s">
        <v>109</v>
      </c>
      <c r="C89" s="42" t="s">
        <v>42</v>
      </c>
      <c r="D89" s="43" t="s">
        <v>57</v>
      </c>
      <c r="E89" s="42" t="s">
        <v>118</v>
      </c>
      <c r="F89" s="42">
        <v>2</v>
      </c>
      <c r="G89" s="42">
        <f>DATA!K74</f>
        <v>14</v>
      </c>
      <c r="H89" s="42">
        <f>DATA!L74</f>
        <v>16</v>
      </c>
      <c r="I89" s="42">
        <f>DATA!O74</f>
        <v>14</v>
      </c>
      <c r="J89" s="42">
        <f>DATA!P74</f>
        <v>16</v>
      </c>
      <c r="K89" s="44">
        <f>DATA!N74</f>
        <v>0</v>
      </c>
      <c r="L89" s="45">
        <v>7</v>
      </c>
      <c r="M89" s="46">
        <f t="shared" si="27"/>
        <v>0</v>
      </c>
      <c r="N89" s="46">
        <f t="shared" si="27"/>
        <v>0</v>
      </c>
      <c r="O89" s="46">
        <f t="shared" si="27"/>
        <v>0</v>
      </c>
      <c r="P89" s="46">
        <f t="shared" si="27"/>
        <v>0</v>
      </c>
      <c r="Q89" s="46">
        <f t="shared" si="27"/>
        <v>0</v>
      </c>
      <c r="R89" s="46">
        <f t="shared" si="27"/>
        <v>0</v>
      </c>
      <c r="S89" s="46">
        <f t="shared" si="27"/>
        <v>0</v>
      </c>
      <c r="T89" s="46">
        <f t="shared" si="27"/>
        <v>0</v>
      </c>
      <c r="U89" s="46">
        <f t="shared" si="27"/>
        <v>0</v>
      </c>
      <c r="V89" s="46">
        <f t="shared" si="27"/>
        <v>0</v>
      </c>
      <c r="W89" s="46">
        <f t="shared" si="28"/>
        <v>0</v>
      </c>
      <c r="X89" s="46">
        <f t="shared" si="28"/>
        <v>0</v>
      </c>
      <c r="Y89" s="46">
        <f t="shared" si="28"/>
        <v>0</v>
      </c>
      <c r="Z89" s="46">
        <f t="shared" si="28"/>
        <v>0</v>
      </c>
      <c r="AA89" s="46">
        <f t="shared" si="28"/>
        <v>0</v>
      </c>
      <c r="AB89" s="46">
        <f t="shared" si="28"/>
        <v>0</v>
      </c>
      <c r="AC89" s="47">
        <f t="shared" si="28"/>
        <v>0</v>
      </c>
      <c r="AD89" s="46">
        <f t="shared" si="28"/>
        <v>0</v>
      </c>
      <c r="AE89" s="46">
        <f t="shared" si="28"/>
        <v>0</v>
      </c>
      <c r="AF89" s="46">
        <f t="shared" si="28"/>
        <v>0</v>
      </c>
      <c r="AG89" s="46">
        <f t="shared" si="29"/>
        <v>0</v>
      </c>
      <c r="AH89" s="46">
        <f t="shared" si="29"/>
        <v>0</v>
      </c>
      <c r="AI89" s="46">
        <f t="shared" si="29"/>
        <v>0</v>
      </c>
      <c r="AJ89" s="46">
        <f t="shared" si="29"/>
        <v>7</v>
      </c>
      <c r="AK89" s="46">
        <f t="shared" si="29"/>
        <v>0</v>
      </c>
      <c r="AL89" s="46">
        <f t="shared" si="29"/>
        <v>0</v>
      </c>
      <c r="AM89" s="46">
        <f t="shared" si="29"/>
        <v>0</v>
      </c>
      <c r="AN89" s="46">
        <f t="shared" si="29"/>
        <v>0</v>
      </c>
      <c r="AO89" s="46">
        <f t="shared" si="29"/>
        <v>0</v>
      </c>
      <c r="AP89" s="46">
        <f t="shared" si="29"/>
        <v>0</v>
      </c>
      <c r="AQ89" s="46">
        <f t="shared" si="29"/>
        <v>0</v>
      </c>
      <c r="AR89" s="46">
        <f t="shared" si="29"/>
        <v>0</v>
      </c>
      <c r="AS89" s="46">
        <f t="shared" si="29"/>
        <v>0</v>
      </c>
      <c r="AT89" s="46">
        <f t="shared" si="29"/>
        <v>0</v>
      </c>
      <c r="AU89" s="46">
        <f t="shared" si="29"/>
        <v>0</v>
      </c>
    </row>
    <row r="90" spans="1:47" ht="16.05" customHeight="1" x14ac:dyDescent="0.4">
      <c r="A90" s="62" t="s">
        <v>201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8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</row>
    <row r="91" spans="1:47" ht="15" customHeight="1" x14ac:dyDescent="0.4">
      <c r="A91" s="36">
        <v>74</v>
      </c>
      <c r="B91" s="36" t="s">
        <v>109</v>
      </c>
      <c r="C91" s="36" t="s">
        <v>45</v>
      </c>
      <c r="D91" s="37" t="s">
        <v>111</v>
      </c>
      <c r="E91" s="36" t="s">
        <v>113</v>
      </c>
      <c r="F91" s="36">
        <v>4</v>
      </c>
      <c r="G91" s="36">
        <f>DATA!K75</f>
        <v>-8</v>
      </c>
      <c r="H91" s="36">
        <f>DATA!L75</f>
        <v>-4</v>
      </c>
      <c r="I91" s="36">
        <f>DATA!O75</f>
        <v>-8</v>
      </c>
      <c r="J91" s="36">
        <f>DATA!P75</f>
        <v>-4</v>
      </c>
      <c r="K91" s="48">
        <f>DATA!N75</f>
        <v>0</v>
      </c>
      <c r="L91" s="49">
        <v>1</v>
      </c>
      <c r="M91" s="38">
        <f t="shared" ref="M91:V96" si="30">IF(AND(M$5&gt;=$I91,M$5&lt;$J91),IF(AND(M$5&gt;=$G91,M$5&lt;$H91),$L91,$L91+100),IF(AND(M$5&gt;=$G91,M$5&lt;$H91),-1,0))</f>
        <v>0</v>
      </c>
      <c r="N91" s="38">
        <f t="shared" si="30"/>
        <v>0</v>
      </c>
      <c r="O91" s="38">
        <f t="shared" si="30"/>
        <v>0</v>
      </c>
      <c r="P91" s="38">
        <f t="shared" si="30"/>
        <v>0</v>
      </c>
      <c r="Q91" s="38">
        <f t="shared" si="30"/>
        <v>0</v>
      </c>
      <c r="R91" s="38">
        <f t="shared" si="30"/>
        <v>0</v>
      </c>
      <c r="S91" s="38">
        <f t="shared" si="30"/>
        <v>0</v>
      </c>
      <c r="T91" s="38">
        <f t="shared" si="30"/>
        <v>0</v>
      </c>
      <c r="U91" s="38">
        <f t="shared" si="30"/>
        <v>0</v>
      </c>
      <c r="V91" s="38">
        <f t="shared" si="30"/>
        <v>0</v>
      </c>
      <c r="W91" s="38">
        <f t="shared" ref="W91:AF96" si="31">IF(AND(W$5&gt;=$I91,W$5&lt;$J91),IF(AND(W$5&gt;=$G91,W$5&lt;$H91),$L91,$L91+100),IF(AND(W$5&gt;=$G91,W$5&lt;$H91),-1,0))</f>
        <v>0</v>
      </c>
      <c r="X91" s="38">
        <f t="shared" si="31"/>
        <v>0</v>
      </c>
      <c r="Y91" s="38">
        <f t="shared" si="31"/>
        <v>1</v>
      </c>
      <c r="Z91" s="38">
        <f t="shared" si="31"/>
        <v>1</v>
      </c>
      <c r="AA91" s="38">
        <f t="shared" si="31"/>
        <v>0</v>
      </c>
      <c r="AB91" s="38">
        <f t="shared" si="31"/>
        <v>0</v>
      </c>
      <c r="AC91" s="39">
        <f t="shared" si="31"/>
        <v>0</v>
      </c>
      <c r="AD91" s="38">
        <f t="shared" si="31"/>
        <v>0</v>
      </c>
      <c r="AE91" s="38">
        <f t="shared" si="31"/>
        <v>0</v>
      </c>
      <c r="AF91" s="38">
        <f t="shared" si="31"/>
        <v>0</v>
      </c>
      <c r="AG91" s="38">
        <f t="shared" ref="AG91:AU96" si="32">IF(AND(AG$5&gt;=$I91,AG$5&lt;$J91),IF(AND(AG$5&gt;=$G91,AG$5&lt;$H91),$L91,$L91+100),IF(AND(AG$5&gt;=$G91,AG$5&lt;$H91),-1,0))</f>
        <v>0</v>
      </c>
      <c r="AH91" s="38">
        <f t="shared" si="32"/>
        <v>0</v>
      </c>
      <c r="AI91" s="38">
        <f t="shared" si="32"/>
        <v>0</v>
      </c>
      <c r="AJ91" s="38">
        <f t="shared" si="32"/>
        <v>0</v>
      </c>
      <c r="AK91" s="38">
        <f t="shared" si="32"/>
        <v>0</v>
      </c>
      <c r="AL91" s="38">
        <f t="shared" si="32"/>
        <v>0</v>
      </c>
      <c r="AM91" s="38">
        <f t="shared" si="32"/>
        <v>0</v>
      </c>
      <c r="AN91" s="38">
        <f t="shared" si="32"/>
        <v>0</v>
      </c>
      <c r="AO91" s="38">
        <f t="shared" si="32"/>
        <v>0</v>
      </c>
      <c r="AP91" s="38">
        <f t="shared" si="32"/>
        <v>0</v>
      </c>
      <c r="AQ91" s="38">
        <f t="shared" si="32"/>
        <v>0</v>
      </c>
      <c r="AR91" s="38">
        <f t="shared" si="32"/>
        <v>0</v>
      </c>
      <c r="AS91" s="38">
        <f t="shared" si="32"/>
        <v>0</v>
      </c>
      <c r="AT91" s="38">
        <f t="shared" si="32"/>
        <v>0</v>
      </c>
      <c r="AU91" s="38">
        <f t="shared" si="32"/>
        <v>0</v>
      </c>
    </row>
    <row r="92" spans="1:47" ht="15" customHeight="1" x14ac:dyDescent="0.4">
      <c r="A92" s="36">
        <v>75</v>
      </c>
      <c r="B92" s="36" t="s">
        <v>109</v>
      </c>
      <c r="C92" s="36" t="s">
        <v>45</v>
      </c>
      <c r="D92" s="37" t="s">
        <v>52</v>
      </c>
      <c r="E92" s="36" t="s">
        <v>113</v>
      </c>
      <c r="F92" s="36">
        <v>4</v>
      </c>
      <c r="G92" s="36">
        <f>DATA!K76</f>
        <v>0</v>
      </c>
      <c r="H92" s="36">
        <f>DATA!L76</f>
        <v>4</v>
      </c>
      <c r="I92" s="36">
        <f>DATA!O76</f>
        <v>0</v>
      </c>
      <c r="J92" s="36">
        <f>DATA!P76</f>
        <v>4</v>
      </c>
      <c r="K92" s="48">
        <f>DATA!N76</f>
        <v>0</v>
      </c>
      <c r="L92" s="49">
        <v>2</v>
      </c>
      <c r="M92" s="38">
        <f t="shared" si="30"/>
        <v>0</v>
      </c>
      <c r="N92" s="38">
        <f t="shared" si="30"/>
        <v>0</v>
      </c>
      <c r="O92" s="38">
        <f t="shared" si="30"/>
        <v>0</v>
      </c>
      <c r="P92" s="38">
        <f t="shared" si="30"/>
        <v>0</v>
      </c>
      <c r="Q92" s="38">
        <f t="shared" si="30"/>
        <v>0</v>
      </c>
      <c r="R92" s="38">
        <f t="shared" si="30"/>
        <v>0</v>
      </c>
      <c r="S92" s="38">
        <f t="shared" si="30"/>
        <v>0</v>
      </c>
      <c r="T92" s="38">
        <f t="shared" si="30"/>
        <v>0</v>
      </c>
      <c r="U92" s="38">
        <f t="shared" si="30"/>
        <v>0</v>
      </c>
      <c r="V92" s="38">
        <f t="shared" si="30"/>
        <v>0</v>
      </c>
      <c r="W92" s="38">
        <f t="shared" si="31"/>
        <v>0</v>
      </c>
      <c r="X92" s="38">
        <f t="shared" si="31"/>
        <v>0</v>
      </c>
      <c r="Y92" s="38">
        <f t="shared" si="31"/>
        <v>0</v>
      </c>
      <c r="Z92" s="38">
        <f t="shared" si="31"/>
        <v>0</v>
      </c>
      <c r="AA92" s="38">
        <f t="shared" si="31"/>
        <v>0</v>
      </c>
      <c r="AB92" s="38">
        <f t="shared" si="31"/>
        <v>0</v>
      </c>
      <c r="AC92" s="39">
        <f t="shared" si="31"/>
        <v>2</v>
      </c>
      <c r="AD92" s="38">
        <f t="shared" si="31"/>
        <v>2</v>
      </c>
      <c r="AE92" s="38">
        <f t="shared" si="31"/>
        <v>0</v>
      </c>
      <c r="AF92" s="38">
        <f t="shared" si="31"/>
        <v>0</v>
      </c>
      <c r="AG92" s="38">
        <f t="shared" si="32"/>
        <v>0</v>
      </c>
      <c r="AH92" s="38">
        <f t="shared" si="32"/>
        <v>0</v>
      </c>
      <c r="AI92" s="38">
        <f t="shared" si="32"/>
        <v>0</v>
      </c>
      <c r="AJ92" s="38">
        <f t="shared" si="32"/>
        <v>0</v>
      </c>
      <c r="AK92" s="38">
        <f t="shared" si="32"/>
        <v>0</v>
      </c>
      <c r="AL92" s="38">
        <f t="shared" si="32"/>
        <v>0</v>
      </c>
      <c r="AM92" s="38">
        <f t="shared" si="32"/>
        <v>0</v>
      </c>
      <c r="AN92" s="38">
        <f t="shared" si="32"/>
        <v>0</v>
      </c>
      <c r="AO92" s="38">
        <f t="shared" si="32"/>
        <v>0</v>
      </c>
      <c r="AP92" s="38">
        <f t="shared" si="32"/>
        <v>0</v>
      </c>
      <c r="AQ92" s="38">
        <f t="shared" si="32"/>
        <v>0</v>
      </c>
      <c r="AR92" s="38">
        <f t="shared" si="32"/>
        <v>0</v>
      </c>
      <c r="AS92" s="38">
        <f t="shared" si="32"/>
        <v>0</v>
      </c>
      <c r="AT92" s="38">
        <f t="shared" si="32"/>
        <v>0</v>
      </c>
      <c r="AU92" s="38">
        <f t="shared" si="32"/>
        <v>0</v>
      </c>
    </row>
    <row r="93" spans="1:47" ht="15" customHeight="1" x14ac:dyDescent="0.4">
      <c r="A93" s="36">
        <v>76</v>
      </c>
      <c r="B93" s="36" t="s">
        <v>109</v>
      </c>
      <c r="C93" s="36" t="s">
        <v>45</v>
      </c>
      <c r="D93" s="37" t="s">
        <v>54</v>
      </c>
      <c r="E93" s="36" t="s">
        <v>118</v>
      </c>
      <c r="F93" s="36">
        <v>6</v>
      </c>
      <c r="G93" s="36">
        <f>DATA!K77</f>
        <v>2</v>
      </c>
      <c r="H93" s="36">
        <f>DATA!L77</f>
        <v>8</v>
      </c>
      <c r="I93" s="36">
        <f>DATA!O77</f>
        <v>2</v>
      </c>
      <c r="J93" s="36">
        <f>DATA!P77</f>
        <v>8</v>
      </c>
      <c r="K93" s="48">
        <f>DATA!N77</f>
        <v>0</v>
      </c>
      <c r="L93" s="49">
        <v>4</v>
      </c>
      <c r="M93" s="38">
        <f t="shared" si="30"/>
        <v>0</v>
      </c>
      <c r="N93" s="38">
        <f t="shared" si="30"/>
        <v>0</v>
      </c>
      <c r="O93" s="38">
        <f t="shared" si="30"/>
        <v>0</v>
      </c>
      <c r="P93" s="38">
        <f t="shared" si="30"/>
        <v>0</v>
      </c>
      <c r="Q93" s="38">
        <f t="shared" si="30"/>
        <v>0</v>
      </c>
      <c r="R93" s="38">
        <f t="shared" si="30"/>
        <v>0</v>
      </c>
      <c r="S93" s="38">
        <f t="shared" si="30"/>
        <v>0</v>
      </c>
      <c r="T93" s="38">
        <f t="shared" si="30"/>
        <v>0</v>
      </c>
      <c r="U93" s="38">
        <f t="shared" si="30"/>
        <v>0</v>
      </c>
      <c r="V93" s="38">
        <f t="shared" si="30"/>
        <v>0</v>
      </c>
      <c r="W93" s="38">
        <f t="shared" si="31"/>
        <v>0</v>
      </c>
      <c r="X93" s="38">
        <f t="shared" si="31"/>
        <v>0</v>
      </c>
      <c r="Y93" s="38">
        <f t="shared" si="31"/>
        <v>0</v>
      </c>
      <c r="Z93" s="38">
        <f t="shared" si="31"/>
        <v>0</v>
      </c>
      <c r="AA93" s="38">
        <f t="shared" si="31"/>
        <v>0</v>
      </c>
      <c r="AB93" s="38">
        <f t="shared" si="31"/>
        <v>0</v>
      </c>
      <c r="AC93" s="39">
        <f t="shared" si="31"/>
        <v>0</v>
      </c>
      <c r="AD93" s="38">
        <f t="shared" si="31"/>
        <v>4</v>
      </c>
      <c r="AE93" s="38">
        <f t="shared" si="31"/>
        <v>4</v>
      </c>
      <c r="AF93" s="38">
        <f t="shared" si="31"/>
        <v>4</v>
      </c>
      <c r="AG93" s="38">
        <f t="shared" si="32"/>
        <v>0</v>
      </c>
      <c r="AH93" s="38">
        <f t="shared" si="32"/>
        <v>0</v>
      </c>
      <c r="AI93" s="38">
        <f t="shared" si="32"/>
        <v>0</v>
      </c>
      <c r="AJ93" s="38">
        <f t="shared" si="32"/>
        <v>0</v>
      </c>
      <c r="AK93" s="38">
        <f t="shared" si="32"/>
        <v>0</v>
      </c>
      <c r="AL93" s="38">
        <f t="shared" si="32"/>
        <v>0</v>
      </c>
      <c r="AM93" s="38">
        <f t="shared" si="32"/>
        <v>0</v>
      </c>
      <c r="AN93" s="38">
        <f t="shared" si="32"/>
        <v>0</v>
      </c>
      <c r="AO93" s="38">
        <f t="shared" si="32"/>
        <v>0</v>
      </c>
      <c r="AP93" s="38">
        <f t="shared" si="32"/>
        <v>0</v>
      </c>
      <c r="AQ93" s="38">
        <f t="shared" si="32"/>
        <v>0</v>
      </c>
      <c r="AR93" s="38">
        <f t="shared" si="32"/>
        <v>0</v>
      </c>
      <c r="AS93" s="38">
        <f t="shared" si="32"/>
        <v>0</v>
      </c>
      <c r="AT93" s="38">
        <f t="shared" si="32"/>
        <v>0</v>
      </c>
      <c r="AU93" s="38">
        <f t="shared" si="32"/>
        <v>0</v>
      </c>
    </row>
    <row r="94" spans="1:47" ht="15" customHeight="1" x14ac:dyDescent="0.4">
      <c r="A94" s="36">
        <v>77</v>
      </c>
      <c r="B94" s="36" t="s">
        <v>109</v>
      </c>
      <c r="C94" s="36" t="s">
        <v>45</v>
      </c>
      <c r="D94" s="37" t="s">
        <v>119</v>
      </c>
      <c r="E94" s="36" t="s">
        <v>118</v>
      </c>
      <c r="F94" s="36">
        <v>2</v>
      </c>
      <c r="G94" s="36">
        <f>DATA!K78</f>
        <v>8</v>
      </c>
      <c r="H94" s="36">
        <f>DATA!L78</f>
        <v>10</v>
      </c>
      <c r="I94" s="36">
        <f>DATA!O78</f>
        <v>8</v>
      </c>
      <c r="J94" s="36">
        <f>DATA!P78</f>
        <v>10</v>
      </c>
      <c r="K94" s="48">
        <f>DATA!N78</f>
        <v>0</v>
      </c>
      <c r="L94" s="49">
        <v>5</v>
      </c>
      <c r="M94" s="38">
        <f t="shared" si="30"/>
        <v>0</v>
      </c>
      <c r="N94" s="38">
        <f t="shared" si="30"/>
        <v>0</v>
      </c>
      <c r="O94" s="38">
        <f t="shared" si="30"/>
        <v>0</v>
      </c>
      <c r="P94" s="38">
        <f t="shared" si="30"/>
        <v>0</v>
      </c>
      <c r="Q94" s="38">
        <f t="shared" si="30"/>
        <v>0</v>
      </c>
      <c r="R94" s="38">
        <f t="shared" si="30"/>
        <v>0</v>
      </c>
      <c r="S94" s="38">
        <f t="shared" si="30"/>
        <v>0</v>
      </c>
      <c r="T94" s="38">
        <f t="shared" si="30"/>
        <v>0</v>
      </c>
      <c r="U94" s="38">
        <f t="shared" si="30"/>
        <v>0</v>
      </c>
      <c r="V94" s="38">
        <f t="shared" si="30"/>
        <v>0</v>
      </c>
      <c r="W94" s="38">
        <f t="shared" si="31"/>
        <v>0</v>
      </c>
      <c r="X94" s="38">
        <f t="shared" si="31"/>
        <v>0</v>
      </c>
      <c r="Y94" s="38">
        <f t="shared" si="31"/>
        <v>0</v>
      </c>
      <c r="Z94" s="38">
        <f t="shared" si="31"/>
        <v>0</v>
      </c>
      <c r="AA94" s="38">
        <f t="shared" si="31"/>
        <v>0</v>
      </c>
      <c r="AB94" s="38">
        <f t="shared" si="31"/>
        <v>0</v>
      </c>
      <c r="AC94" s="39">
        <f t="shared" si="31"/>
        <v>0</v>
      </c>
      <c r="AD94" s="38">
        <f t="shared" si="31"/>
        <v>0</v>
      </c>
      <c r="AE94" s="38">
        <f t="shared" si="31"/>
        <v>0</v>
      </c>
      <c r="AF94" s="38">
        <f t="shared" si="31"/>
        <v>0</v>
      </c>
      <c r="AG94" s="38">
        <f t="shared" si="32"/>
        <v>5</v>
      </c>
      <c r="AH94" s="38">
        <f t="shared" si="32"/>
        <v>0</v>
      </c>
      <c r="AI94" s="38">
        <f t="shared" si="32"/>
        <v>0</v>
      </c>
      <c r="AJ94" s="38">
        <f t="shared" si="32"/>
        <v>0</v>
      </c>
      <c r="AK94" s="38">
        <f t="shared" si="32"/>
        <v>0</v>
      </c>
      <c r="AL94" s="38">
        <f t="shared" si="32"/>
        <v>0</v>
      </c>
      <c r="AM94" s="38">
        <f t="shared" si="32"/>
        <v>0</v>
      </c>
      <c r="AN94" s="38">
        <f t="shared" si="32"/>
        <v>0</v>
      </c>
      <c r="AO94" s="38">
        <f t="shared" si="32"/>
        <v>0</v>
      </c>
      <c r="AP94" s="38">
        <f t="shared" si="32"/>
        <v>0</v>
      </c>
      <c r="AQ94" s="38">
        <f t="shared" si="32"/>
        <v>0</v>
      </c>
      <c r="AR94" s="38">
        <f t="shared" si="32"/>
        <v>0</v>
      </c>
      <c r="AS94" s="38">
        <f t="shared" si="32"/>
        <v>0</v>
      </c>
      <c r="AT94" s="38">
        <f t="shared" si="32"/>
        <v>0</v>
      </c>
      <c r="AU94" s="38">
        <f t="shared" si="32"/>
        <v>0</v>
      </c>
    </row>
    <row r="95" spans="1:47" ht="15" customHeight="1" x14ac:dyDescent="0.4">
      <c r="A95" s="36">
        <v>78</v>
      </c>
      <c r="B95" s="36" t="s">
        <v>109</v>
      </c>
      <c r="C95" s="36" t="s">
        <v>45</v>
      </c>
      <c r="D95" s="37" t="s">
        <v>125</v>
      </c>
      <c r="E95" s="36" t="s">
        <v>118</v>
      </c>
      <c r="F95" s="36">
        <v>2</v>
      </c>
      <c r="G95" s="36">
        <f>DATA!K79</f>
        <v>10</v>
      </c>
      <c r="H95" s="36">
        <f>DATA!L79</f>
        <v>12</v>
      </c>
      <c r="I95" s="36">
        <f>DATA!O79</f>
        <v>10</v>
      </c>
      <c r="J95" s="36">
        <f>DATA!P79</f>
        <v>12</v>
      </c>
      <c r="K95" s="48">
        <f>DATA!N79</f>
        <v>0</v>
      </c>
      <c r="L95" s="49">
        <v>6</v>
      </c>
      <c r="M95" s="38">
        <f t="shared" si="30"/>
        <v>0</v>
      </c>
      <c r="N95" s="38">
        <f t="shared" si="30"/>
        <v>0</v>
      </c>
      <c r="O95" s="38">
        <f t="shared" si="30"/>
        <v>0</v>
      </c>
      <c r="P95" s="38">
        <f t="shared" si="30"/>
        <v>0</v>
      </c>
      <c r="Q95" s="38">
        <f t="shared" si="30"/>
        <v>0</v>
      </c>
      <c r="R95" s="38">
        <f t="shared" si="30"/>
        <v>0</v>
      </c>
      <c r="S95" s="38">
        <f t="shared" si="30"/>
        <v>0</v>
      </c>
      <c r="T95" s="38">
        <f t="shared" si="30"/>
        <v>0</v>
      </c>
      <c r="U95" s="38">
        <f t="shared" si="30"/>
        <v>0</v>
      </c>
      <c r="V95" s="38">
        <f t="shared" si="30"/>
        <v>0</v>
      </c>
      <c r="W95" s="38">
        <f t="shared" si="31"/>
        <v>0</v>
      </c>
      <c r="X95" s="38">
        <f t="shared" si="31"/>
        <v>0</v>
      </c>
      <c r="Y95" s="38">
        <f t="shared" si="31"/>
        <v>0</v>
      </c>
      <c r="Z95" s="38">
        <f t="shared" si="31"/>
        <v>0</v>
      </c>
      <c r="AA95" s="38">
        <f t="shared" si="31"/>
        <v>0</v>
      </c>
      <c r="AB95" s="38">
        <f t="shared" si="31"/>
        <v>0</v>
      </c>
      <c r="AC95" s="39">
        <f t="shared" si="31"/>
        <v>0</v>
      </c>
      <c r="AD95" s="38">
        <f t="shared" si="31"/>
        <v>0</v>
      </c>
      <c r="AE95" s="38">
        <f t="shared" si="31"/>
        <v>0</v>
      </c>
      <c r="AF95" s="38">
        <f t="shared" si="31"/>
        <v>0</v>
      </c>
      <c r="AG95" s="38">
        <f t="shared" si="32"/>
        <v>0</v>
      </c>
      <c r="AH95" s="38">
        <f t="shared" si="32"/>
        <v>6</v>
      </c>
      <c r="AI95" s="38">
        <f t="shared" si="32"/>
        <v>0</v>
      </c>
      <c r="AJ95" s="38">
        <f t="shared" si="32"/>
        <v>0</v>
      </c>
      <c r="AK95" s="38">
        <f t="shared" si="32"/>
        <v>0</v>
      </c>
      <c r="AL95" s="38">
        <f t="shared" si="32"/>
        <v>0</v>
      </c>
      <c r="AM95" s="38">
        <f t="shared" si="32"/>
        <v>0</v>
      </c>
      <c r="AN95" s="38">
        <f t="shared" si="32"/>
        <v>0</v>
      </c>
      <c r="AO95" s="38">
        <f t="shared" si="32"/>
        <v>0</v>
      </c>
      <c r="AP95" s="38">
        <f t="shared" si="32"/>
        <v>0</v>
      </c>
      <c r="AQ95" s="38">
        <f t="shared" si="32"/>
        <v>0</v>
      </c>
      <c r="AR95" s="38">
        <f t="shared" si="32"/>
        <v>0</v>
      </c>
      <c r="AS95" s="38">
        <f t="shared" si="32"/>
        <v>0</v>
      </c>
      <c r="AT95" s="38">
        <f t="shared" si="32"/>
        <v>0</v>
      </c>
      <c r="AU95" s="38">
        <f t="shared" si="32"/>
        <v>0</v>
      </c>
    </row>
    <row r="96" spans="1:47" ht="15" customHeight="1" x14ac:dyDescent="0.4">
      <c r="A96" s="36">
        <v>79</v>
      </c>
      <c r="B96" s="36" t="s">
        <v>109</v>
      </c>
      <c r="C96" s="36" t="s">
        <v>45</v>
      </c>
      <c r="D96" s="37" t="s">
        <v>57</v>
      </c>
      <c r="E96" s="36" t="s">
        <v>118</v>
      </c>
      <c r="F96" s="36">
        <v>2</v>
      </c>
      <c r="G96" s="36">
        <f>DATA!K80</f>
        <v>12</v>
      </c>
      <c r="H96" s="36">
        <f>DATA!L80</f>
        <v>14</v>
      </c>
      <c r="I96" s="36">
        <f>DATA!O80</f>
        <v>12</v>
      </c>
      <c r="J96" s="36">
        <f>DATA!P80</f>
        <v>14</v>
      </c>
      <c r="K96" s="48">
        <f>DATA!N80</f>
        <v>0</v>
      </c>
      <c r="L96" s="49">
        <v>7</v>
      </c>
      <c r="M96" s="38">
        <f t="shared" si="30"/>
        <v>0</v>
      </c>
      <c r="N96" s="38">
        <f t="shared" si="30"/>
        <v>0</v>
      </c>
      <c r="O96" s="38">
        <f t="shared" si="30"/>
        <v>0</v>
      </c>
      <c r="P96" s="38">
        <f t="shared" si="30"/>
        <v>0</v>
      </c>
      <c r="Q96" s="38">
        <f t="shared" si="30"/>
        <v>0</v>
      </c>
      <c r="R96" s="38">
        <f t="shared" si="30"/>
        <v>0</v>
      </c>
      <c r="S96" s="38">
        <f t="shared" si="30"/>
        <v>0</v>
      </c>
      <c r="T96" s="38">
        <f t="shared" si="30"/>
        <v>0</v>
      </c>
      <c r="U96" s="38">
        <f t="shared" si="30"/>
        <v>0</v>
      </c>
      <c r="V96" s="38">
        <f t="shared" si="30"/>
        <v>0</v>
      </c>
      <c r="W96" s="38">
        <f t="shared" si="31"/>
        <v>0</v>
      </c>
      <c r="X96" s="38">
        <f t="shared" si="31"/>
        <v>0</v>
      </c>
      <c r="Y96" s="38">
        <f t="shared" si="31"/>
        <v>0</v>
      </c>
      <c r="Z96" s="38">
        <f t="shared" si="31"/>
        <v>0</v>
      </c>
      <c r="AA96" s="38">
        <f t="shared" si="31"/>
        <v>0</v>
      </c>
      <c r="AB96" s="38">
        <f t="shared" si="31"/>
        <v>0</v>
      </c>
      <c r="AC96" s="39">
        <f t="shared" si="31"/>
        <v>0</v>
      </c>
      <c r="AD96" s="38">
        <f t="shared" si="31"/>
        <v>0</v>
      </c>
      <c r="AE96" s="38">
        <f t="shared" si="31"/>
        <v>0</v>
      </c>
      <c r="AF96" s="38">
        <f t="shared" si="31"/>
        <v>0</v>
      </c>
      <c r="AG96" s="38">
        <f t="shared" si="32"/>
        <v>0</v>
      </c>
      <c r="AH96" s="38">
        <f t="shared" si="32"/>
        <v>0</v>
      </c>
      <c r="AI96" s="38">
        <f t="shared" si="32"/>
        <v>7</v>
      </c>
      <c r="AJ96" s="38">
        <f t="shared" si="32"/>
        <v>0</v>
      </c>
      <c r="AK96" s="38">
        <f t="shared" si="32"/>
        <v>0</v>
      </c>
      <c r="AL96" s="38">
        <f t="shared" si="32"/>
        <v>0</v>
      </c>
      <c r="AM96" s="38">
        <f t="shared" si="32"/>
        <v>0</v>
      </c>
      <c r="AN96" s="38">
        <f t="shared" si="32"/>
        <v>0</v>
      </c>
      <c r="AO96" s="38">
        <f t="shared" si="32"/>
        <v>0</v>
      </c>
      <c r="AP96" s="38">
        <f t="shared" si="32"/>
        <v>0</v>
      </c>
      <c r="AQ96" s="38">
        <f t="shared" si="32"/>
        <v>0</v>
      </c>
      <c r="AR96" s="38">
        <f t="shared" si="32"/>
        <v>0</v>
      </c>
      <c r="AS96" s="38">
        <f t="shared" si="32"/>
        <v>0</v>
      </c>
      <c r="AT96" s="38">
        <f t="shared" si="32"/>
        <v>0</v>
      </c>
      <c r="AU96" s="38">
        <f t="shared" si="32"/>
        <v>0</v>
      </c>
    </row>
    <row r="97" spans="1:47" ht="16.05" customHeight="1" x14ac:dyDescent="0.4">
      <c r="A97" s="62" t="s">
        <v>202</v>
      </c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8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</row>
    <row r="98" spans="1:47" ht="15" customHeight="1" x14ac:dyDescent="0.4">
      <c r="A98" s="42">
        <v>80</v>
      </c>
      <c r="B98" s="42" t="s">
        <v>109</v>
      </c>
      <c r="C98" s="42" t="s">
        <v>48</v>
      </c>
      <c r="D98" s="43" t="s">
        <v>111</v>
      </c>
      <c r="E98" s="42" t="s">
        <v>113</v>
      </c>
      <c r="F98" s="42">
        <v>6</v>
      </c>
      <c r="G98" s="42">
        <f>DATA!K81</f>
        <v>-8</v>
      </c>
      <c r="H98" s="42">
        <f>DATA!L81</f>
        <v>-2</v>
      </c>
      <c r="I98" s="42">
        <f>DATA!O81</f>
        <v>-8</v>
      </c>
      <c r="J98" s="42">
        <f>DATA!P81</f>
        <v>-2</v>
      </c>
      <c r="K98" s="44">
        <f>DATA!N81</f>
        <v>0</v>
      </c>
      <c r="L98" s="45">
        <v>1</v>
      </c>
      <c r="M98" s="46">
        <f t="shared" ref="M98:V103" si="33">IF(AND(M$5&gt;=$I98,M$5&lt;$J98),IF(AND(M$5&gt;=$G98,M$5&lt;$H98),$L98,$L98+100),IF(AND(M$5&gt;=$G98,M$5&lt;$H98),-1,0))</f>
        <v>0</v>
      </c>
      <c r="N98" s="46">
        <f t="shared" si="33"/>
        <v>0</v>
      </c>
      <c r="O98" s="46">
        <f t="shared" si="33"/>
        <v>0</v>
      </c>
      <c r="P98" s="46">
        <f t="shared" si="33"/>
        <v>0</v>
      </c>
      <c r="Q98" s="46">
        <f t="shared" si="33"/>
        <v>0</v>
      </c>
      <c r="R98" s="46">
        <f t="shared" si="33"/>
        <v>0</v>
      </c>
      <c r="S98" s="46">
        <f t="shared" si="33"/>
        <v>0</v>
      </c>
      <c r="T98" s="46">
        <f t="shared" si="33"/>
        <v>0</v>
      </c>
      <c r="U98" s="46">
        <f t="shared" si="33"/>
        <v>0</v>
      </c>
      <c r="V98" s="46">
        <f t="shared" si="33"/>
        <v>0</v>
      </c>
      <c r="W98" s="46">
        <f t="shared" ref="W98:AF103" si="34">IF(AND(W$5&gt;=$I98,W$5&lt;$J98),IF(AND(W$5&gt;=$G98,W$5&lt;$H98),$L98,$L98+100),IF(AND(W$5&gt;=$G98,W$5&lt;$H98),-1,0))</f>
        <v>0</v>
      </c>
      <c r="X98" s="46">
        <f t="shared" si="34"/>
        <v>0</v>
      </c>
      <c r="Y98" s="46">
        <f t="shared" si="34"/>
        <v>1</v>
      </c>
      <c r="Z98" s="46">
        <f t="shared" si="34"/>
        <v>1</v>
      </c>
      <c r="AA98" s="46">
        <f t="shared" si="34"/>
        <v>1</v>
      </c>
      <c r="AB98" s="46">
        <f t="shared" si="34"/>
        <v>0</v>
      </c>
      <c r="AC98" s="47">
        <f t="shared" si="34"/>
        <v>0</v>
      </c>
      <c r="AD98" s="46">
        <f t="shared" si="34"/>
        <v>0</v>
      </c>
      <c r="AE98" s="46">
        <f t="shared" si="34"/>
        <v>0</v>
      </c>
      <c r="AF98" s="46">
        <f t="shared" si="34"/>
        <v>0</v>
      </c>
      <c r="AG98" s="46">
        <f t="shared" ref="AG98:AU103" si="35">IF(AND(AG$5&gt;=$I98,AG$5&lt;$J98),IF(AND(AG$5&gt;=$G98,AG$5&lt;$H98),$L98,$L98+100),IF(AND(AG$5&gt;=$G98,AG$5&lt;$H98),-1,0))</f>
        <v>0</v>
      </c>
      <c r="AH98" s="46">
        <f t="shared" si="35"/>
        <v>0</v>
      </c>
      <c r="AI98" s="46">
        <f t="shared" si="35"/>
        <v>0</v>
      </c>
      <c r="AJ98" s="46">
        <f t="shared" si="35"/>
        <v>0</v>
      </c>
      <c r="AK98" s="46">
        <f t="shared" si="35"/>
        <v>0</v>
      </c>
      <c r="AL98" s="46">
        <f t="shared" si="35"/>
        <v>0</v>
      </c>
      <c r="AM98" s="46">
        <f t="shared" si="35"/>
        <v>0</v>
      </c>
      <c r="AN98" s="46">
        <f t="shared" si="35"/>
        <v>0</v>
      </c>
      <c r="AO98" s="46">
        <f t="shared" si="35"/>
        <v>0</v>
      </c>
      <c r="AP98" s="46">
        <f t="shared" si="35"/>
        <v>0</v>
      </c>
      <c r="AQ98" s="46">
        <f t="shared" si="35"/>
        <v>0</v>
      </c>
      <c r="AR98" s="46">
        <f t="shared" si="35"/>
        <v>0</v>
      </c>
      <c r="AS98" s="46">
        <f t="shared" si="35"/>
        <v>0</v>
      </c>
      <c r="AT98" s="46">
        <f t="shared" si="35"/>
        <v>0</v>
      </c>
      <c r="AU98" s="46">
        <f t="shared" si="35"/>
        <v>0</v>
      </c>
    </row>
    <row r="99" spans="1:47" ht="15" customHeight="1" x14ac:dyDescent="0.4">
      <c r="A99" s="42">
        <v>81</v>
      </c>
      <c r="B99" s="42" t="s">
        <v>109</v>
      </c>
      <c r="C99" s="42" t="s">
        <v>48</v>
      </c>
      <c r="D99" s="43" t="s">
        <v>52</v>
      </c>
      <c r="E99" s="42" t="s">
        <v>113</v>
      </c>
      <c r="F99" s="42">
        <v>4</v>
      </c>
      <c r="G99" s="42">
        <f>DATA!K82</f>
        <v>0</v>
      </c>
      <c r="H99" s="42">
        <f>DATA!L82</f>
        <v>4</v>
      </c>
      <c r="I99" s="42">
        <f>DATA!O82</f>
        <v>0</v>
      </c>
      <c r="J99" s="42">
        <f>DATA!P82</f>
        <v>4</v>
      </c>
      <c r="K99" s="44">
        <f>DATA!N82</f>
        <v>0</v>
      </c>
      <c r="L99" s="45">
        <v>2</v>
      </c>
      <c r="M99" s="46">
        <f t="shared" si="33"/>
        <v>0</v>
      </c>
      <c r="N99" s="46">
        <f t="shared" si="33"/>
        <v>0</v>
      </c>
      <c r="O99" s="46">
        <f t="shared" si="33"/>
        <v>0</v>
      </c>
      <c r="P99" s="46">
        <f t="shared" si="33"/>
        <v>0</v>
      </c>
      <c r="Q99" s="46">
        <f t="shared" si="33"/>
        <v>0</v>
      </c>
      <c r="R99" s="46">
        <f t="shared" si="33"/>
        <v>0</v>
      </c>
      <c r="S99" s="46">
        <f t="shared" si="33"/>
        <v>0</v>
      </c>
      <c r="T99" s="46">
        <f t="shared" si="33"/>
        <v>0</v>
      </c>
      <c r="U99" s="46">
        <f t="shared" si="33"/>
        <v>0</v>
      </c>
      <c r="V99" s="46">
        <f t="shared" si="33"/>
        <v>0</v>
      </c>
      <c r="W99" s="46">
        <f t="shared" si="34"/>
        <v>0</v>
      </c>
      <c r="X99" s="46">
        <f t="shared" si="34"/>
        <v>0</v>
      </c>
      <c r="Y99" s="46">
        <f t="shared" si="34"/>
        <v>0</v>
      </c>
      <c r="Z99" s="46">
        <f t="shared" si="34"/>
        <v>0</v>
      </c>
      <c r="AA99" s="46">
        <f t="shared" si="34"/>
        <v>0</v>
      </c>
      <c r="AB99" s="46">
        <f t="shared" si="34"/>
        <v>0</v>
      </c>
      <c r="AC99" s="47">
        <f t="shared" si="34"/>
        <v>2</v>
      </c>
      <c r="AD99" s="46">
        <f t="shared" si="34"/>
        <v>2</v>
      </c>
      <c r="AE99" s="46">
        <f t="shared" si="34"/>
        <v>0</v>
      </c>
      <c r="AF99" s="46">
        <f t="shared" si="34"/>
        <v>0</v>
      </c>
      <c r="AG99" s="46">
        <f t="shared" si="35"/>
        <v>0</v>
      </c>
      <c r="AH99" s="46">
        <f t="shared" si="35"/>
        <v>0</v>
      </c>
      <c r="AI99" s="46">
        <f t="shared" si="35"/>
        <v>0</v>
      </c>
      <c r="AJ99" s="46">
        <f t="shared" si="35"/>
        <v>0</v>
      </c>
      <c r="AK99" s="46">
        <f t="shared" si="35"/>
        <v>0</v>
      </c>
      <c r="AL99" s="46">
        <f t="shared" si="35"/>
        <v>0</v>
      </c>
      <c r="AM99" s="46">
        <f t="shared" si="35"/>
        <v>0</v>
      </c>
      <c r="AN99" s="46">
        <f t="shared" si="35"/>
        <v>0</v>
      </c>
      <c r="AO99" s="46">
        <f t="shared" si="35"/>
        <v>0</v>
      </c>
      <c r="AP99" s="46">
        <f t="shared" si="35"/>
        <v>0</v>
      </c>
      <c r="AQ99" s="46">
        <f t="shared" si="35"/>
        <v>0</v>
      </c>
      <c r="AR99" s="46">
        <f t="shared" si="35"/>
        <v>0</v>
      </c>
      <c r="AS99" s="46">
        <f t="shared" si="35"/>
        <v>0</v>
      </c>
      <c r="AT99" s="46">
        <f t="shared" si="35"/>
        <v>0</v>
      </c>
      <c r="AU99" s="46">
        <f t="shared" si="35"/>
        <v>0</v>
      </c>
    </row>
    <row r="100" spans="1:47" ht="15" customHeight="1" x14ac:dyDescent="0.4">
      <c r="A100" s="42">
        <v>82</v>
      </c>
      <c r="B100" s="42" t="s">
        <v>109</v>
      </c>
      <c r="C100" s="42" t="s">
        <v>48</v>
      </c>
      <c r="D100" s="43" t="s">
        <v>53</v>
      </c>
      <c r="E100" s="42" t="s">
        <v>113</v>
      </c>
      <c r="F100" s="42">
        <v>4</v>
      </c>
      <c r="G100" s="42">
        <f>DATA!K83</f>
        <v>2</v>
      </c>
      <c r="H100" s="42">
        <f>DATA!L83</f>
        <v>6</v>
      </c>
      <c r="I100" s="42">
        <f>DATA!O83</f>
        <v>2</v>
      </c>
      <c r="J100" s="42">
        <f>DATA!P83</f>
        <v>6</v>
      </c>
      <c r="K100" s="44">
        <f>DATA!N83</f>
        <v>0</v>
      </c>
      <c r="L100" s="45">
        <v>3</v>
      </c>
      <c r="M100" s="46">
        <f t="shared" si="33"/>
        <v>0</v>
      </c>
      <c r="N100" s="46">
        <f t="shared" si="33"/>
        <v>0</v>
      </c>
      <c r="O100" s="46">
        <f t="shared" si="33"/>
        <v>0</v>
      </c>
      <c r="P100" s="46">
        <f t="shared" si="33"/>
        <v>0</v>
      </c>
      <c r="Q100" s="46">
        <f t="shared" si="33"/>
        <v>0</v>
      </c>
      <c r="R100" s="46">
        <f t="shared" si="33"/>
        <v>0</v>
      </c>
      <c r="S100" s="46">
        <f t="shared" si="33"/>
        <v>0</v>
      </c>
      <c r="T100" s="46">
        <f t="shared" si="33"/>
        <v>0</v>
      </c>
      <c r="U100" s="46">
        <f t="shared" si="33"/>
        <v>0</v>
      </c>
      <c r="V100" s="46">
        <f t="shared" si="33"/>
        <v>0</v>
      </c>
      <c r="W100" s="46">
        <f t="shared" si="34"/>
        <v>0</v>
      </c>
      <c r="X100" s="46">
        <f t="shared" si="34"/>
        <v>0</v>
      </c>
      <c r="Y100" s="46">
        <f t="shared" si="34"/>
        <v>0</v>
      </c>
      <c r="Z100" s="46">
        <f t="shared" si="34"/>
        <v>0</v>
      </c>
      <c r="AA100" s="46">
        <f t="shared" si="34"/>
        <v>0</v>
      </c>
      <c r="AB100" s="46">
        <f t="shared" si="34"/>
        <v>0</v>
      </c>
      <c r="AC100" s="47">
        <f t="shared" si="34"/>
        <v>0</v>
      </c>
      <c r="AD100" s="46">
        <f t="shared" si="34"/>
        <v>3</v>
      </c>
      <c r="AE100" s="46">
        <f t="shared" si="34"/>
        <v>3</v>
      </c>
      <c r="AF100" s="46">
        <f t="shared" si="34"/>
        <v>0</v>
      </c>
      <c r="AG100" s="46">
        <f t="shared" si="35"/>
        <v>0</v>
      </c>
      <c r="AH100" s="46">
        <f t="shared" si="35"/>
        <v>0</v>
      </c>
      <c r="AI100" s="46">
        <f t="shared" si="35"/>
        <v>0</v>
      </c>
      <c r="AJ100" s="46">
        <f t="shared" si="35"/>
        <v>0</v>
      </c>
      <c r="AK100" s="46">
        <f t="shared" si="35"/>
        <v>0</v>
      </c>
      <c r="AL100" s="46">
        <f t="shared" si="35"/>
        <v>0</v>
      </c>
      <c r="AM100" s="46">
        <f t="shared" si="35"/>
        <v>0</v>
      </c>
      <c r="AN100" s="46">
        <f t="shared" si="35"/>
        <v>0</v>
      </c>
      <c r="AO100" s="46">
        <f t="shared" si="35"/>
        <v>0</v>
      </c>
      <c r="AP100" s="46">
        <f t="shared" si="35"/>
        <v>0</v>
      </c>
      <c r="AQ100" s="46">
        <f t="shared" si="35"/>
        <v>0</v>
      </c>
      <c r="AR100" s="46">
        <f t="shared" si="35"/>
        <v>0</v>
      </c>
      <c r="AS100" s="46">
        <f t="shared" si="35"/>
        <v>0</v>
      </c>
      <c r="AT100" s="46">
        <f t="shared" si="35"/>
        <v>0</v>
      </c>
      <c r="AU100" s="46">
        <f t="shared" si="35"/>
        <v>0</v>
      </c>
    </row>
    <row r="101" spans="1:47" ht="15" customHeight="1" x14ac:dyDescent="0.4">
      <c r="A101" s="42">
        <v>83</v>
      </c>
      <c r="B101" s="42" t="s">
        <v>109</v>
      </c>
      <c r="C101" s="42" t="s">
        <v>48</v>
      </c>
      <c r="D101" s="43" t="s">
        <v>54</v>
      </c>
      <c r="E101" s="42" t="s">
        <v>118</v>
      </c>
      <c r="F101" s="42">
        <v>6</v>
      </c>
      <c r="G101" s="42">
        <f>DATA!K84</f>
        <v>4</v>
      </c>
      <c r="H101" s="42">
        <f>DATA!L84</f>
        <v>10</v>
      </c>
      <c r="I101" s="42">
        <f>DATA!O84</f>
        <v>4</v>
      </c>
      <c r="J101" s="42">
        <f>DATA!P84</f>
        <v>10</v>
      </c>
      <c r="K101" s="44">
        <f>DATA!N84</f>
        <v>0</v>
      </c>
      <c r="L101" s="45">
        <v>4</v>
      </c>
      <c r="M101" s="46">
        <f t="shared" si="33"/>
        <v>0</v>
      </c>
      <c r="N101" s="46">
        <f t="shared" si="33"/>
        <v>0</v>
      </c>
      <c r="O101" s="46">
        <f t="shared" si="33"/>
        <v>0</v>
      </c>
      <c r="P101" s="46">
        <f t="shared" si="33"/>
        <v>0</v>
      </c>
      <c r="Q101" s="46">
        <f t="shared" si="33"/>
        <v>0</v>
      </c>
      <c r="R101" s="46">
        <f t="shared" si="33"/>
        <v>0</v>
      </c>
      <c r="S101" s="46">
        <f t="shared" si="33"/>
        <v>0</v>
      </c>
      <c r="T101" s="46">
        <f t="shared" si="33"/>
        <v>0</v>
      </c>
      <c r="U101" s="46">
        <f t="shared" si="33"/>
        <v>0</v>
      </c>
      <c r="V101" s="46">
        <f t="shared" si="33"/>
        <v>0</v>
      </c>
      <c r="W101" s="46">
        <f t="shared" si="34"/>
        <v>0</v>
      </c>
      <c r="X101" s="46">
        <f t="shared" si="34"/>
        <v>0</v>
      </c>
      <c r="Y101" s="46">
        <f t="shared" si="34"/>
        <v>0</v>
      </c>
      <c r="Z101" s="46">
        <f t="shared" si="34"/>
        <v>0</v>
      </c>
      <c r="AA101" s="46">
        <f t="shared" si="34"/>
        <v>0</v>
      </c>
      <c r="AB101" s="46">
        <f t="shared" si="34"/>
        <v>0</v>
      </c>
      <c r="AC101" s="47">
        <f t="shared" si="34"/>
        <v>0</v>
      </c>
      <c r="AD101" s="46">
        <f t="shared" si="34"/>
        <v>0</v>
      </c>
      <c r="AE101" s="46">
        <f t="shared" si="34"/>
        <v>4</v>
      </c>
      <c r="AF101" s="46">
        <f t="shared" si="34"/>
        <v>4</v>
      </c>
      <c r="AG101" s="46">
        <f t="shared" si="35"/>
        <v>4</v>
      </c>
      <c r="AH101" s="46">
        <f t="shared" si="35"/>
        <v>0</v>
      </c>
      <c r="AI101" s="46">
        <f t="shared" si="35"/>
        <v>0</v>
      </c>
      <c r="AJ101" s="46">
        <f t="shared" si="35"/>
        <v>0</v>
      </c>
      <c r="AK101" s="46">
        <f t="shared" si="35"/>
        <v>0</v>
      </c>
      <c r="AL101" s="46">
        <f t="shared" si="35"/>
        <v>0</v>
      </c>
      <c r="AM101" s="46">
        <f t="shared" si="35"/>
        <v>0</v>
      </c>
      <c r="AN101" s="46">
        <f t="shared" si="35"/>
        <v>0</v>
      </c>
      <c r="AO101" s="46">
        <f t="shared" si="35"/>
        <v>0</v>
      </c>
      <c r="AP101" s="46">
        <f t="shared" si="35"/>
        <v>0</v>
      </c>
      <c r="AQ101" s="46">
        <f t="shared" si="35"/>
        <v>0</v>
      </c>
      <c r="AR101" s="46">
        <f t="shared" si="35"/>
        <v>0</v>
      </c>
      <c r="AS101" s="46">
        <f t="shared" si="35"/>
        <v>0</v>
      </c>
      <c r="AT101" s="46">
        <f t="shared" si="35"/>
        <v>0</v>
      </c>
      <c r="AU101" s="46">
        <f t="shared" si="35"/>
        <v>0</v>
      </c>
    </row>
    <row r="102" spans="1:47" ht="15" customHeight="1" x14ac:dyDescent="0.4">
      <c r="A102" s="42">
        <v>84</v>
      </c>
      <c r="B102" s="42" t="s">
        <v>109</v>
      </c>
      <c r="C102" s="42" t="s">
        <v>48</v>
      </c>
      <c r="D102" s="43" t="s">
        <v>119</v>
      </c>
      <c r="E102" s="42" t="s">
        <v>118</v>
      </c>
      <c r="F102" s="42">
        <v>2</v>
      </c>
      <c r="G102" s="42">
        <f>DATA!K85</f>
        <v>10</v>
      </c>
      <c r="H102" s="42">
        <f>DATA!L85</f>
        <v>12</v>
      </c>
      <c r="I102" s="42">
        <f>DATA!O85</f>
        <v>10</v>
      </c>
      <c r="J102" s="42">
        <f>DATA!P85</f>
        <v>12</v>
      </c>
      <c r="K102" s="44">
        <f>DATA!N85</f>
        <v>0</v>
      </c>
      <c r="L102" s="45">
        <v>5</v>
      </c>
      <c r="M102" s="46">
        <f t="shared" si="33"/>
        <v>0</v>
      </c>
      <c r="N102" s="46">
        <f t="shared" si="33"/>
        <v>0</v>
      </c>
      <c r="O102" s="46">
        <f t="shared" si="33"/>
        <v>0</v>
      </c>
      <c r="P102" s="46">
        <f t="shared" si="33"/>
        <v>0</v>
      </c>
      <c r="Q102" s="46">
        <f t="shared" si="33"/>
        <v>0</v>
      </c>
      <c r="R102" s="46">
        <f t="shared" si="33"/>
        <v>0</v>
      </c>
      <c r="S102" s="46">
        <f t="shared" si="33"/>
        <v>0</v>
      </c>
      <c r="T102" s="46">
        <f t="shared" si="33"/>
        <v>0</v>
      </c>
      <c r="U102" s="46">
        <f t="shared" si="33"/>
        <v>0</v>
      </c>
      <c r="V102" s="46">
        <f t="shared" si="33"/>
        <v>0</v>
      </c>
      <c r="W102" s="46">
        <f t="shared" si="34"/>
        <v>0</v>
      </c>
      <c r="X102" s="46">
        <f t="shared" si="34"/>
        <v>0</v>
      </c>
      <c r="Y102" s="46">
        <f t="shared" si="34"/>
        <v>0</v>
      </c>
      <c r="Z102" s="46">
        <f t="shared" si="34"/>
        <v>0</v>
      </c>
      <c r="AA102" s="46">
        <f t="shared" si="34"/>
        <v>0</v>
      </c>
      <c r="AB102" s="46">
        <f t="shared" si="34"/>
        <v>0</v>
      </c>
      <c r="AC102" s="47">
        <f t="shared" si="34"/>
        <v>0</v>
      </c>
      <c r="AD102" s="46">
        <f t="shared" si="34"/>
        <v>0</v>
      </c>
      <c r="AE102" s="46">
        <f t="shared" si="34"/>
        <v>0</v>
      </c>
      <c r="AF102" s="46">
        <f t="shared" si="34"/>
        <v>0</v>
      </c>
      <c r="AG102" s="46">
        <f t="shared" si="35"/>
        <v>0</v>
      </c>
      <c r="AH102" s="46">
        <f t="shared" si="35"/>
        <v>5</v>
      </c>
      <c r="AI102" s="46">
        <f t="shared" si="35"/>
        <v>0</v>
      </c>
      <c r="AJ102" s="46">
        <f t="shared" si="35"/>
        <v>0</v>
      </c>
      <c r="AK102" s="46">
        <f t="shared" si="35"/>
        <v>0</v>
      </c>
      <c r="AL102" s="46">
        <f t="shared" si="35"/>
        <v>0</v>
      </c>
      <c r="AM102" s="46">
        <f t="shared" si="35"/>
        <v>0</v>
      </c>
      <c r="AN102" s="46">
        <f t="shared" si="35"/>
        <v>0</v>
      </c>
      <c r="AO102" s="46">
        <f t="shared" si="35"/>
        <v>0</v>
      </c>
      <c r="AP102" s="46">
        <f t="shared" si="35"/>
        <v>0</v>
      </c>
      <c r="AQ102" s="46">
        <f t="shared" si="35"/>
        <v>0</v>
      </c>
      <c r="AR102" s="46">
        <f t="shared" si="35"/>
        <v>0</v>
      </c>
      <c r="AS102" s="46">
        <f t="shared" si="35"/>
        <v>0</v>
      </c>
      <c r="AT102" s="46">
        <f t="shared" si="35"/>
        <v>0</v>
      </c>
      <c r="AU102" s="46">
        <f t="shared" si="35"/>
        <v>0</v>
      </c>
    </row>
    <row r="103" spans="1:47" ht="15" customHeight="1" x14ac:dyDescent="0.4">
      <c r="A103" s="42">
        <v>85</v>
      </c>
      <c r="B103" s="42" t="s">
        <v>109</v>
      </c>
      <c r="C103" s="42" t="s">
        <v>48</v>
      </c>
      <c r="D103" s="43" t="s">
        <v>125</v>
      </c>
      <c r="E103" s="42" t="s">
        <v>118</v>
      </c>
      <c r="F103" s="42">
        <v>2</v>
      </c>
      <c r="G103" s="42">
        <f>DATA!K86</f>
        <v>12</v>
      </c>
      <c r="H103" s="42">
        <f>DATA!L86</f>
        <v>14</v>
      </c>
      <c r="I103" s="42">
        <f>DATA!O86</f>
        <v>12</v>
      </c>
      <c r="J103" s="42">
        <f>DATA!P86</f>
        <v>14</v>
      </c>
      <c r="K103" s="44">
        <f>DATA!N86</f>
        <v>0</v>
      </c>
      <c r="L103" s="45">
        <v>6</v>
      </c>
      <c r="M103" s="46">
        <f t="shared" si="33"/>
        <v>0</v>
      </c>
      <c r="N103" s="46">
        <f t="shared" si="33"/>
        <v>0</v>
      </c>
      <c r="O103" s="46">
        <f t="shared" si="33"/>
        <v>0</v>
      </c>
      <c r="P103" s="46">
        <f t="shared" si="33"/>
        <v>0</v>
      </c>
      <c r="Q103" s="46">
        <f t="shared" si="33"/>
        <v>0</v>
      </c>
      <c r="R103" s="46">
        <f t="shared" si="33"/>
        <v>0</v>
      </c>
      <c r="S103" s="46">
        <f t="shared" si="33"/>
        <v>0</v>
      </c>
      <c r="T103" s="46">
        <f t="shared" si="33"/>
        <v>0</v>
      </c>
      <c r="U103" s="46">
        <f t="shared" si="33"/>
        <v>0</v>
      </c>
      <c r="V103" s="46">
        <f t="shared" si="33"/>
        <v>0</v>
      </c>
      <c r="W103" s="46">
        <f t="shared" si="34"/>
        <v>0</v>
      </c>
      <c r="X103" s="46">
        <f t="shared" si="34"/>
        <v>0</v>
      </c>
      <c r="Y103" s="46">
        <f t="shared" si="34"/>
        <v>0</v>
      </c>
      <c r="Z103" s="46">
        <f t="shared" si="34"/>
        <v>0</v>
      </c>
      <c r="AA103" s="46">
        <f t="shared" si="34"/>
        <v>0</v>
      </c>
      <c r="AB103" s="46">
        <f t="shared" si="34"/>
        <v>0</v>
      </c>
      <c r="AC103" s="47">
        <f t="shared" si="34"/>
        <v>0</v>
      </c>
      <c r="AD103" s="46">
        <f t="shared" si="34"/>
        <v>0</v>
      </c>
      <c r="AE103" s="46">
        <f t="shared" si="34"/>
        <v>0</v>
      </c>
      <c r="AF103" s="46">
        <f t="shared" si="34"/>
        <v>0</v>
      </c>
      <c r="AG103" s="46">
        <f t="shared" si="35"/>
        <v>0</v>
      </c>
      <c r="AH103" s="46">
        <f t="shared" si="35"/>
        <v>0</v>
      </c>
      <c r="AI103" s="46">
        <f t="shared" si="35"/>
        <v>6</v>
      </c>
      <c r="AJ103" s="46">
        <f t="shared" si="35"/>
        <v>0</v>
      </c>
      <c r="AK103" s="46">
        <f t="shared" si="35"/>
        <v>0</v>
      </c>
      <c r="AL103" s="46">
        <f t="shared" si="35"/>
        <v>0</v>
      </c>
      <c r="AM103" s="46">
        <f t="shared" si="35"/>
        <v>0</v>
      </c>
      <c r="AN103" s="46">
        <f t="shared" si="35"/>
        <v>0</v>
      </c>
      <c r="AO103" s="46">
        <f t="shared" si="35"/>
        <v>0</v>
      </c>
      <c r="AP103" s="46">
        <f t="shared" si="35"/>
        <v>0</v>
      </c>
      <c r="AQ103" s="46">
        <f t="shared" si="35"/>
        <v>0</v>
      </c>
      <c r="AR103" s="46">
        <f t="shared" si="35"/>
        <v>0</v>
      </c>
      <c r="AS103" s="46">
        <f t="shared" si="35"/>
        <v>0</v>
      </c>
      <c r="AT103" s="46">
        <f t="shared" si="35"/>
        <v>0</v>
      </c>
      <c r="AU103" s="46">
        <f t="shared" si="35"/>
        <v>0</v>
      </c>
    </row>
    <row r="104" spans="1:47" ht="13.95" customHeight="1" x14ac:dyDescent="0.4">
      <c r="A104" s="64" t="s">
        <v>203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</row>
  </sheetData>
  <mergeCells count="17">
    <mergeCell ref="A1:AU1"/>
    <mergeCell ref="A17:AU17"/>
    <mergeCell ref="A18:L18"/>
    <mergeCell ref="A6:AU6"/>
    <mergeCell ref="A50:L50"/>
    <mergeCell ref="A26:L26"/>
    <mergeCell ref="A2:AU2"/>
    <mergeCell ref="A82:L82"/>
    <mergeCell ref="A42:L42"/>
    <mergeCell ref="A104:AU104"/>
    <mergeCell ref="A90:L90"/>
    <mergeCell ref="A3:D3"/>
    <mergeCell ref="A34:L34"/>
    <mergeCell ref="A66:L66"/>
    <mergeCell ref="A58:L58"/>
    <mergeCell ref="A74:L74"/>
    <mergeCell ref="A97:L97"/>
  </mergeCells>
  <phoneticPr fontId="26" type="noConversion"/>
  <conditionalFormatting sqref="M6:AU103">
    <cfRule type="cellIs" dxfId="20" priority="1" operator="equal">
      <formula>-1</formula>
    </cfRule>
    <cfRule type="cellIs" dxfId="19" priority="1" operator="equal">
      <formula>1</formula>
    </cfRule>
    <cfRule type="cellIs" dxfId="18" priority="1" operator="equal">
      <formula>2</formula>
    </cfRule>
    <cfRule type="cellIs" dxfId="17" priority="1" operator="equal">
      <formula>3</formula>
    </cfRule>
    <cfRule type="cellIs" dxfId="16" priority="1" operator="equal">
      <formula>4</formula>
    </cfRule>
    <cfRule type="cellIs" dxfId="15" priority="1" operator="equal">
      <formula>5</formula>
    </cfRule>
    <cfRule type="cellIs" dxfId="14" priority="1" operator="equal">
      <formula>6</formula>
    </cfRule>
    <cfRule type="cellIs" dxfId="13" priority="1" operator="equal">
      <formula>7</formula>
    </cfRule>
    <cfRule type="cellIs" dxfId="12" priority="1" operator="equal">
      <formula>8</formula>
    </cfRule>
    <cfRule type="cellIs" dxfId="11" priority="1" operator="equal">
      <formula>9</formula>
    </cfRule>
    <cfRule type="cellIs" dxfId="10" priority="1" operator="equal">
      <formula>10</formula>
    </cfRule>
    <cfRule type="cellIs" dxfId="9" priority="1" operator="equal">
      <formula>101</formula>
    </cfRule>
    <cfRule type="cellIs" dxfId="8" priority="1" operator="equal">
      <formula>102</formula>
    </cfRule>
    <cfRule type="cellIs" dxfId="7" priority="1" operator="equal">
      <formula>103</formula>
    </cfRule>
    <cfRule type="cellIs" dxfId="6" priority="1" operator="equal">
      <formula>104</formula>
    </cfRule>
    <cfRule type="cellIs" dxfId="5" priority="1" operator="equal">
      <formula>105</formula>
    </cfRule>
    <cfRule type="cellIs" dxfId="4" priority="1" operator="equal">
      <formula>106</formula>
    </cfRule>
    <cfRule type="cellIs" dxfId="3" priority="1" operator="equal">
      <formula>107</formula>
    </cfRule>
    <cfRule type="cellIs" dxfId="2" priority="1" operator="equal">
      <formula>108</formula>
    </cfRule>
    <cfRule type="cellIs" dxfId="1" priority="1" operator="equal">
      <formula>109</formula>
    </cfRule>
    <cfRule type="cellIs" dxfId="0" priority="1" operator="equal">
      <formula>110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CONTROL</vt:lpstr>
      <vt:lpstr>DATA</vt:lpstr>
      <vt:lpstr>GANTT</vt:lpstr>
      <vt:lpstr>BLDG_DELAY</vt:lpstr>
      <vt:lpstr>DI_DATE</vt:lpstr>
      <vt:lpstr>PR_DELAY</vt:lpstr>
      <vt:lpstr>GANTT!Print_Titles</vt:lpstr>
      <vt:lpstr>SLP_DELAY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원기 이</cp:lastModifiedBy>
  <dcterms:created xsi:type="dcterms:W3CDTF">2026-04-16T07:59:31Z</dcterms:created>
  <dcterms:modified xsi:type="dcterms:W3CDTF">2026-04-16T21:53:42Z</dcterms:modified>
</cp:coreProperties>
</file>